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_game project/Ajinomoto-conductor/"/>
    </mc:Choice>
  </mc:AlternateContent>
  <xr:revisionPtr revIDLastSave="0" documentId="13_ncr:1_{5CA69AB9-CD88-FE48-B093-50C21CC18E10}" xr6:coauthVersionLast="47" xr6:coauthVersionMax="47" xr10:uidLastSave="{00000000-0000-0000-0000-000000000000}"/>
  <bookViews>
    <workbookView xWindow="0" yWindow="660" windowWidth="30240" windowHeight="17900" activeTab="6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J3" i="11"/>
  <c r="F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2" i="11"/>
  <c r="E7" i="10"/>
  <c r="I3" i="10"/>
  <c r="H3" i="10"/>
  <c r="I12" i="9"/>
  <c r="M9" i="9"/>
  <c r="L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H3" i="9"/>
  <c r="H3" i="11" l="1"/>
  <c r="G3" i="10"/>
  <c r="F3" i="10"/>
  <c r="I3" i="11" l="1"/>
  <c r="L9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  <c r="I3" i="9" l="1"/>
  <c r="J3" i="9"/>
  <c r="K3" i="9"/>
</calcChain>
</file>

<file path=xl/sharedStrings.xml><?xml version="1.0" encoding="utf-8"?>
<sst xmlns="http://schemas.openxmlformats.org/spreadsheetml/2006/main" count="144" uniqueCount="133">
  <si>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</si>
  <si>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</si>
  <si>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</si>
  <si>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</si>
  <si>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</si>
  <si>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</si>
  <si>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</si>
  <si>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</si>
  <si>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</si>
  <si>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</si>
  <si>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</si>
  <si>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</si>
  <si>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</si>
  <si>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</si>
  <si>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</si>
  <si>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</si>
  <si>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</si>
  <si>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</si>
  <si>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</si>
  <si>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</si>
  <si>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</si>
  <si>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</si>
  <si>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</si>
  <si>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</si>
  <si>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</si>
  <si>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</si>
  <si>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</si>
  <si>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</si>
  <si>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</si>
  <si>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</si>
  <si>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</si>
  <si>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</si>
  <si>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</si>
  <si>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</si>
  <si>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</si>
  <si>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</si>
  <si>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</si>
  <si>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</si>
  <si>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</si>
  <si>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</si>
  <si>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</si>
  <si>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</si>
  <si>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</si>
  <si>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</si>
  <si>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</si>
  <si>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</si>
  <si>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</si>
  <si>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</si>
  <si>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</si>
  <si>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</si>
  <si>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</si>
  <si>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</si>
  <si>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</si>
  <si>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</si>
  <si>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</si>
  <si>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</si>
  <si>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</si>
  <si>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</si>
  <si>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</si>
  <si>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</si>
  <si>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</si>
  <si>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</si>
  <si>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</si>
  <si>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</si>
  <si>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</si>
  <si>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</si>
  <si>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</si>
  <si>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</si>
  <si>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</si>
  <si>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</si>
  <si>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</si>
  <si>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</si>
  <si>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</si>
  <si>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</si>
  <si>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</si>
  <si>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</si>
  <si>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</si>
  <si>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</si>
  <si>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</si>
  <si>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</si>
  <si>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</si>
  <si>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</si>
  <si>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</si>
  <si>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</si>
  <si>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</si>
  <si>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</si>
  <si>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</si>
  <si>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</si>
  <si>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</si>
  <si>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</si>
  <si>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</si>
  <si>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</si>
  <si>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</si>
  <si>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</si>
  <si>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</si>
  <si>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</si>
  <si>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</si>
  <si>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</si>
  <si>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</si>
  <si>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</si>
  <si>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</si>
  <si>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</si>
  <si>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</si>
  <si>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</si>
  <si>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</si>
  <si>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</si>
  <si>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</si>
  <si>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</si>
  <si>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</si>
  <si>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</si>
  <si>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</si>
  <si>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</si>
  <si>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</si>
  <si>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</si>
  <si>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avg(March)</t>
  </si>
  <si>
    <t>march</t>
  </si>
  <si>
    <t>AVG(March)</t>
  </si>
  <si>
    <t>Avg (March)</t>
  </si>
  <si>
    <t>Month</t>
  </si>
  <si>
    <t>February</t>
  </si>
  <si>
    <t>March</t>
  </si>
  <si>
    <t>Average user</t>
  </si>
  <si>
    <t>user stickiness average</t>
  </si>
  <si>
    <t>Average total score</t>
  </si>
  <si>
    <t xml:space="preserve">sum_total_score
</t>
  </si>
  <si>
    <t>Average total_duration_min</t>
  </si>
  <si>
    <t>sum_total_duration_min</t>
  </si>
  <si>
    <t>April</t>
  </si>
  <si>
    <t>aprils</t>
  </si>
  <si>
    <t>avg(April)</t>
  </si>
  <si>
    <t>AVG(April)</t>
  </si>
  <si>
    <t>Avg(April)</t>
  </si>
  <si>
    <t>total_duration_up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</si>
</sst>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Engagement'!$A$67:$A$125</c:f>
            </c:numRef>
          </c:cat>
          <c:val>
            <c:numRef>
              <c:f>'User Engagement'!$B$67:$B$125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Engagement'!$A$67:$A$125</c:f>
            </c:numRef>
          </c:cat>
          <c:val>
            <c:numRef>
              <c:f>'User Engagement'!$C$67:$C$125</c:f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'!$A$95:$A$125</c:f>
            </c:numRef>
          </c:cat>
          <c:val>
            <c:numRef>
              <c:f>'gameplay_report(score) '!$B$95:$B$125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'!$A$67:$A$125</c:f>
            </c:numRef>
          </c:cat>
          <c:val>
            <c:numRef>
              <c:f>'gameplay_report(time) '!$B$67:$B$125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D5"/>
  <sheetViews>
    <sheetView zoomScale="133"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</row>
    <row r="2" spans="1:4" x14ac:dyDescent="0.2">
      <c r="A2" t="s">
        <v>1</v>
      </c>
      <c r="B2">
        <v>572</v>
      </c>
      <c r="C2">
        <v>644</v>
      </c>
      <c r="D2">
        <v>669</v>
      </c>
    </row>
    <row r="3" spans="1:4" x14ac:dyDescent="0.2">
      <c r="A3" t="s">
        <v>17</v>
      </c>
      <c r="B3">
        <v>510</v>
      </c>
      <c r="C3">
        <v>565</v>
      </c>
      <c r="D3">
        <v>583</v>
      </c>
    </row>
    <row r="4" spans="1:4" x14ac:dyDescent="0.2">
      <c r="A4" t="s">
        <v>2</v>
      </c>
      <c r="B4">
        <v>230</v>
      </c>
      <c r="C4">
        <v>252</v>
      </c>
      <c r="D4">
        <v>258</v>
      </c>
    </row>
    <row r="5" spans="1:4" x14ac:dyDescent="0.2">
      <c r="A5" t="s">
        <v>118</v>
      </c>
      <c r="B5" t="s">
        <v>119</v>
      </c>
      <c r="C5" t="s">
        <v>120</v>
      </c>
      <c r="D5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M145"/>
  <sheetViews>
    <sheetView zoomScale="57" zoomScaleNormal="150"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4</v>
      </c>
      <c r="B1" t="s">
        <v>5</v>
      </c>
      <c r="C1" t="s">
        <v>6</v>
      </c>
      <c r="D1" t="s">
        <v>13</v>
      </c>
      <c r="H1" s="16" t="s">
        <v>121</v>
      </c>
      <c r="I1" s="16"/>
      <c r="J1" s="16"/>
      <c r="K1" s="16"/>
    </row>
    <row r="2" spans="1:13" x14ac:dyDescent="0.2">
      <c r="A2" s="1">
        <v>45989</v>
      </c>
      <c r="B2">
        <v>10</v>
      </c>
      <c r="C2">
        <v>0</v>
      </c>
      <c r="G2" t="s">
        <v>118</v>
      </c>
      <c r="H2" t="s">
        <v>14</v>
      </c>
      <c r="I2" t="s">
        <v>15</v>
      </c>
      <c r="J2" t="s">
        <v>16</v>
      </c>
      <c r="K2" t="s">
        <v>114</v>
      </c>
      <c r="L2" t="s">
        <v>129</v>
      </c>
    </row>
    <row r="3" spans="1:13" x14ac:dyDescent="0.2">
      <c r="A3" s="1">
        <v>45990</v>
      </c>
      <c r="B3">
        <v>2</v>
      </c>
      <c r="C3">
        <v>2</v>
      </c>
      <c r="G3" t="s">
        <v>121</v>
      </c>
      <c r="H3">
        <f>AVERAGE(D5:D35)</f>
        <v>7.67741935483871</v>
      </c>
      <c r="I3">
        <f>AVERAGE(D36:D66)</f>
        <v>5.67741935483871</v>
      </c>
      <c r="J3">
        <f>AVERAGE(D67:D94)</f>
        <v>4</v>
      </c>
      <c r="K3">
        <f>AVERAGE(D95:D123)</f>
        <v>2.9655172413793105</v>
      </c>
      <c r="L3">
        <f>AVERAGE(D126:D145)</f>
        <v>2.2999999999999998</v>
      </c>
    </row>
    <row r="4" spans="1:13" x14ac:dyDescent="0.2">
      <c r="A4" s="1">
        <v>45991</v>
      </c>
      <c r="B4">
        <v>1</v>
      </c>
      <c r="C4">
        <v>0</v>
      </c>
    </row>
    <row r="5" spans="1:13" x14ac:dyDescent="0.2">
      <c r="A5" s="1">
        <v>45992</v>
      </c>
      <c r="B5">
        <v>2</v>
      </c>
      <c r="C5">
        <v>2</v>
      </c>
      <c r="D5">
        <f>SUM(B5:C5)</f>
        <v>4</v>
      </c>
    </row>
    <row r="6" spans="1:13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118</v>
      </c>
      <c r="I6" t="s">
        <v>7</v>
      </c>
      <c r="J6" t="s">
        <v>8</v>
      </c>
      <c r="K6" t="s">
        <v>9</v>
      </c>
      <c r="L6" t="s">
        <v>115</v>
      </c>
      <c r="M6" t="s">
        <v>128</v>
      </c>
    </row>
    <row r="7" spans="1:13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  <c r="M7">
        <v>2.2999999999999998</v>
      </c>
    </row>
    <row r="8" spans="1:13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  <c r="M8">
        <v>4</v>
      </c>
    </row>
    <row r="9" spans="1:13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  <c r="M9">
        <f>(M7/M8)*100</f>
        <v>57.499999999999993</v>
      </c>
    </row>
    <row r="10" spans="1:13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3" x14ac:dyDescent="0.2">
      <c r="A11" s="1">
        <v>45998</v>
      </c>
      <c r="B11">
        <v>2</v>
      </c>
      <c r="C11">
        <v>4</v>
      </c>
      <c r="D11">
        <f t="shared" si="0"/>
        <v>6</v>
      </c>
      <c r="H11" s="2"/>
    </row>
    <row r="12" spans="1:13" ht="51" x14ac:dyDescent="0.2">
      <c r="A12" s="1">
        <v>45999</v>
      </c>
      <c r="B12">
        <v>3</v>
      </c>
      <c r="C12">
        <v>3</v>
      </c>
      <c r="D12">
        <f t="shared" si="0"/>
        <v>6</v>
      </c>
      <c r="H12" s="2" t="s">
        <v>122</v>
      </c>
      <c r="I12">
        <f>AVERAGE(I9:M9)</f>
        <v>19.452168987119954</v>
      </c>
    </row>
    <row r="13" spans="1:13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3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3" x14ac:dyDescent="0.2">
      <c r="A15" s="1">
        <v>46002</v>
      </c>
      <c r="B15">
        <v>4</v>
      </c>
      <c r="C15">
        <v>8</v>
      </c>
      <c r="D15">
        <f t="shared" si="0"/>
        <v>12</v>
      </c>
    </row>
    <row r="16" spans="1:13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3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  <row r="124" spans="1:4" x14ac:dyDescent="0.2">
      <c r="A124" s="1">
        <v>46111</v>
      </c>
      <c r="B124">
        <v>0</v>
      </c>
      <c r="C124">
        <v>2</v>
      </c>
      <c r="D124">
        <f t="shared" si="1"/>
        <v>2</v>
      </c>
    </row>
    <row r="125" spans="1:4" x14ac:dyDescent="0.2">
      <c r="A125" s="1">
        <v>46112</v>
      </c>
      <c r="B125">
        <v>1</v>
      </c>
      <c r="C125">
        <v>2</v>
      </c>
      <c r="D125">
        <f t="shared" si="1"/>
        <v>3</v>
      </c>
    </row>
    <row r="126" spans="1:4" x14ac:dyDescent="0.2">
      <c r="A126" s="1">
        <v>46113</v>
      </c>
      <c r="B126">
        <v>0</v>
      </c>
      <c r="C126">
        <v>2</v>
      </c>
      <c r="D126">
        <f t="shared" si="1"/>
        <v>2</v>
      </c>
    </row>
    <row r="127" spans="1:4" x14ac:dyDescent="0.2">
      <c r="A127" s="1">
        <v>46114</v>
      </c>
      <c r="B127">
        <v>0</v>
      </c>
      <c r="C127">
        <v>2</v>
      </c>
      <c r="D127">
        <f t="shared" si="1"/>
        <v>2</v>
      </c>
    </row>
    <row r="128" spans="1:4" x14ac:dyDescent="0.2">
      <c r="A128" s="1">
        <v>46115</v>
      </c>
      <c r="B128">
        <v>0</v>
      </c>
      <c r="C128">
        <v>2</v>
      </c>
      <c r="D128">
        <f t="shared" si="1"/>
        <v>2</v>
      </c>
    </row>
    <row r="129" spans="1:4" x14ac:dyDescent="0.2">
      <c r="A129" s="1">
        <v>46116</v>
      </c>
      <c r="B129">
        <v>1</v>
      </c>
      <c r="C129">
        <v>2</v>
      </c>
      <c r="D129">
        <f t="shared" si="1"/>
        <v>3</v>
      </c>
    </row>
    <row r="130" spans="1:4" x14ac:dyDescent="0.2">
      <c r="A130" s="1">
        <v>46117</v>
      </c>
      <c r="B130">
        <v>0</v>
      </c>
      <c r="C130">
        <v>2</v>
      </c>
      <c r="D130">
        <f t="shared" si="1"/>
        <v>2</v>
      </c>
    </row>
    <row r="131" spans="1:4" x14ac:dyDescent="0.2">
      <c r="A131" s="1">
        <v>46118</v>
      </c>
      <c r="B131">
        <v>0</v>
      </c>
      <c r="C131">
        <v>2</v>
      </c>
      <c r="D131">
        <f t="shared" si="1"/>
        <v>2</v>
      </c>
    </row>
    <row r="132" spans="1:4" x14ac:dyDescent="0.2">
      <c r="A132" s="1">
        <v>46119</v>
      </c>
      <c r="B132">
        <v>0</v>
      </c>
      <c r="C132">
        <v>2</v>
      </c>
      <c r="D132">
        <f t="shared" si="1"/>
        <v>2</v>
      </c>
    </row>
    <row r="133" spans="1:4" x14ac:dyDescent="0.2">
      <c r="A133" s="1">
        <v>46120</v>
      </c>
      <c r="B133">
        <v>1</v>
      </c>
      <c r="C133">
        <v>3</v>
      </c>
      <c r="D133">
        <f t="shared" si="1"/>
        <v>4</v>
      </c>
    </row>
    <row r="134" spans="1:4" x14ac:dyDescent="0.2">
      <c r="A134" s="1">
        <v>46121</v>
      </c>
      <c r="B134">
        <v>0</v>
      </c>
      <c r="C134">
        <v>2</v>
      </c>
      <c r="D134">
        <f t="shared" ref="D134:D145" si="2">SUM(B134:C134)</f>
        <v>2</v>
      </c>
    </row>
    <row r="135" spans="1:4" x14ac:dyDescent="0.2">
      <c r="A135" s="1">
        <v>46122</v>
      </c>
      <c r="B135">
        <v>1</v>
      </c>
      <c r="C135">
        <v>3</v>
      </c>
      <c r="D135">
        <f t="shared" si="2"/>
        <v>4</v>
      </c>
    </row>
    <row r="136" spans="1:4" x14ac:dyDescent="0.2">
      <c r="A136" s="1">
        <v>46123</v>
      </c>
      <c r="B136">
        <v>0</v>
      </c>
      <c r="C136">
        <v>2</v>
      </c>
      <c r="D136">
        <f t="shared" si="2"/>
        <v>2</v>
      </c>
    </row>
    <row r="137" spans="1:4" x14ac:dyDescent="0.2">
      <c r="A137" s="1">
        <v>46124</v>
      </c>
      <c r="B137">
        <v>0</v>
      </c>
      <c r="C137">
        <v>2</v>
      </c>
      <c r="D137">
        <f t="shared" si="2"/>
        <v>2</v>
      </c>
    </row>
    <row r="138" spans="1:4" x14ac:dyDescent="0.2">
      <c r="A138" s="1">
        <v>46125</v>
      </c>
      <c r="B138">
        <v>0</v>
      </c>
      <c r="C138">
        <v>2</v>
      </c>
      <c r="D138">
        <f t="shared" si="2"/>
        <v>2</v>
      </c>
    </row>
    <row r="139" spans="1:4" x14ac:dyDescent="0.2">
      <c r="A139" s="1">
        <v>46126</v>
      </c>
      <c r="B139">
        <v>0</v>
      </c>
      <c r="C139">
        <v>2</v>
      </c>
      <c r="D139">
        <f t="shared" si="2"/>
        <v>2</v>
      </c>
    </row>
    <row r="140" spans="1:4" x14ac:dyDescent="0.2">
      <c r="A140" s="1">
        <v>46127</v>
      </c>
      <c r="B140">
        <v>0</v>
      </c>
      <c r="C140">
        <v>2</v>
      </c>
      <c r="D140">
        <f t="shared" si="2"/>
        <v>2</v>
      </c>
    </row>
    <row r="141" spans="1:4" x14ac:dyDescent="0.2">
      <c r="A141" s="1">
        <v>46128</v>
      </c>
      <c r="B141">
        <v>0</v>
      </c>
      <c r="C141">
        <v>2</v>
      </c>
      <c r="D141">
        <f t="shared" si="2"/>
        <v>2</v>
      </c>
    </row>
    <row r="142" spans="1:4" x14ac:dyDescent="0.2">
      <c r="A142" s="1">
        <v>46129</v>
      </c>
      <c r="B142">
        <v>0</v>
      </c>
      <c r="C142">
        <v>2</v>
      </c>
      <c r="D142">
        <f t="shared" si="2"/>
        <v>2</v>
      </c>
    </row>
    <row r="143" spans="1:4" x14ac:dyDescent="0.2">
      <c r="A143" s="1">
        <v>46130</v>
      </c>
      <c r="B143">
        <v>0</v>
      </c>
      <c r="C143">
        <v>2</v>
      </c>
      <c r="D143">
        <f t="shared" si="2"/>
        <v>2</v>
      </c>
    </row>
    <row r="144" spans="1:4" x14ac:dyDescent="0.2">
      <c r="A144" s="1">
        <v>46131</v>
      </c>
      <c r="B144">
        <v>1</v>
      </c>
      <c r="C144">
        <v>2</v>
      </c>
      <c r="D144">
        <f t="shared" si="2"/>
        <v>3</v>
      </c>
    </row>
    <row r="145" spans="1:4" x14ac:dyDescent="0.2">
      <c r="A145" s="1">
        <v>46132</v>
      </c>
      <c r="B145">
        <v>0</v>
      </c>
      <c r="C145">
        <v>2</v>
      </c>
      <c r="D145">
        <f t="shared" si="2"/>
        <v>2</v>
      </c>
    </row>
  </sheetData>
  <mergeCells count="1"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AF147"/>
  <sheetViews>
    <sheetView topLeftCell="L13" zoomScale="150" zoomScaleNormal="49" workbookViewId="0">
      <selection activeCell="I2" sqref="I2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32" x14ac:dyDescent="0.2">
      <c r="A1" s="4" t="s">
        <v>37</v>
      </c>
      <c r="B1" s="10" t="s">
        <v>38</v>
      </c>
      <c r="C1" s="7" t="s">
        <v>38</v>
      </c>
      <c r="F1" s="16" t="s">
        <v>123</v>
      </c>
      <c r="G1" s="16"/>
      <c r="H1" s="16"/>
    </row>
    <row r="2" spans="1:32" x14ac:dyDescent="0.2">
      <c r="A2" s="5">
        <v>45989</v>
      </c>
      <c r="B2" s="11">
        <v>22648</v>
      </c>
      <c r="C2" s="8">
        <v>22648</v>
      </c>
      <c r="D2" s="3"/>
      <c r="E2" t="s">
        <v>118</v>
      </c>
      <c r="F2" s="1" t="s">
        <v>39</v>
      </c>
      <c r="G2" s="1" t="s">
        <v>40</v>
      </c>
      <c r="H2" s="1" t="s">
        <v>116</v>
      </c>
      <c r="I2" t="s">
        <v>130</v>
      </c>
      <c r="AF2" s="1"/>
    </row>
    <row r="3" spans="1:32" x14ac:dyDescent="0.2">
      <c r="A3" s="5">
        <v>45990</v>
      </c>
      <c r="B3" s="11">
        <v>17590</v>
      </c>
      <c r="C3" s="8">
        <v>17590</v>
      </c>
      <c r="E3" t="s">
        <v>121</v>
      </c>
      <c r="F3" s="3">
        <f>AVERAGE(B36:B66)</f>
        <v>87248.290322580651</v>
      </c>
      <c r="G3" s="3">
        <f>AVERAGE(B67:B94)</f>
        <v>28986.392857142859</v>
      </c>
      <c r="H3" s="3">
        <f>AVERAGE(B95:B124)</f>
        <v>12265.766666666666</v>
      </c>
      <c r="I3" s="3">
        <f>AVERAGE(B126:B147)</f>
        <v>4398.545454545455</v>
      </c>
      <c r="AF3" s="1"/>
    </row>
    <row r="4" spans="1:32" x14ac:dyDescent="0.2">
      <c r="A4" s="5">
        <v>45991</v>
      </c>
      <c r="B4" s="11">
        <v>23611</v>
      </c>
      <c r="C4" s="8">
        <v>23611</v>
      </c>
      <c r="H4" s="13"/>
      <c r="AF4" s="1"/>
    </row>
    <row r="5" spans="1:32" x14ac:dyDescent="0.2">
      <c r="A5" s="5">
        <v>45992</v>
      </c>
      <c r="B5" s="11">
        <v>69299</v>
      </c>
      <c r="C5" s="8">
        <v>69299</v>
      </c>
      <c r="H5" s="13"/>
      <c r="AF5" s="1"/>
    </row>
    <row r="6" spans="1:32" x14ac:dyDescent="0.2">
      <c r="A6" s="5">
        <v>45993</v>
      </c>
      <c r="B6" s="11">
        <v>49006</v>
      </c>
      <c r="C6" s="8">
        <v>49006</v>
      </c>
      <c r="E6" t="s">
        <v>124</v>
      </c>
      <c r="H6" s="13"/>
      <c r="AF6" s="1"/>
    </row>
    <row r="7" spans="1:32" x14ac:dyDescent="0.2">
      <c r="A7" s="5">
        <v>45994</v>
      </c>
      <c r="B7" s="11">
        <v>60593</v>
      </c>
      <c r="C7" s="8">
        <v>60593</v>
      </c>
      <c r="E7" s="3">
        <f>SUM(C2:C147)</f>
        <v>7924995</v>
      </c>
      <c r="H7" s="13"/>
      <c r="AF7" s="1"/>
    </row>
    <row r="8" spans="1:32" x14ac:dyDescent="0.2">
      <c r="A8" s="5">
        <v>45995</v>
      </c>
      <c r="B8" s="11">
        <v>112498</v>
      </c>
      <c r="C8" s="8">
        <v>112498</v>
      </c>
      <c r="H8" s="13"/>
      <c r="AF8" s="1"/>
    </row>
    <row r="9" spans="1:32" x14ac:dyDescent="0.2">
      <c r="A9" s="5">
        <v>45996</v>
      </c>
      <c r="B9" s="11">
        <v>145294</v>
      </c>
      <c r="C9" s="8">
        <v>145294</v>
      </c>
      <c r="H9" s="14"/>
      <c r="AF9" s="1"/>
    </row>
    <row r="10" spans="1:32" x14ac:dyDescent="0.2">
      <c r="A10" s="5">
        <v>45997</v>
      </c>
      <c r="B10" s="11">
        <v>78938</v>
      </c>
      <c r="C10" s="8">
        <v>78938</v>
      </c>
      <c r="H10" s="13"/>
      <c r="AF10" s="1"/>
    </row>
    <row r="11" spans="1:32" x14ac:dyDescent="0.2">
      <c r="A11" s="5">
        <v>45998</v>
      </c>
      <c r="B11" s="11">
        <v>56748</v>
      </c>
      <c r="C11" s="8">
        <v>56748</v>
      </c>
      <c r="H11" s="14"/>
      <c r="AF11" s="1"/>
    </row>
    <row r="12" spans="1:32" x14ac:dyDescent="0.2">
      <c r="A12" s="5">
        <v>45999</v>
      </c>
      <c r="B12" s="11">
        <v>69137</v>
      </c>
      <c r="C12" s="8">
        <v>69137</v>
      </c>
      <c r="AF12" s="1"/>
    </row>
    <row r="13" spans="1:32" x14ac:dyDescent="0.2">
      <c r="A13" s="5">
        <v>46000</v>
      </c>
      <c r="B13" s="11">
        <v>152198</v>
      </c>
      <c r="C13" s="8">
        <v>152198</v>
      </c>
      <c r="AF13" s="1"/>
    </row>
    <row r="14" spans="1:32" x14ac:dyDescent="0.2">
      <c r="A14" s="5">
        <v>46001</v>
      </c>
      <c r="B14" s="11">
        <v>85363</v>
      </c>
      <c r="C14" s="8">
        <v>85363</v>
      </c>
      <c r="AF14" s="1"/>
    </row>
    <row r="15" spans="1:32" x14ac:dyDescent="0.2">
      <c r="A15" s="5">
        <v>46002</v>
      </c>
      <c r="B15" s="11">
        <v>114782</v>
      </c>
      <c r="C15" s="8">
        <v>114782</v>
      </c>
      <c r="AF15" s="1"/>
    </row>
    <row r="16" spans="1:32" x14ac:dyDescent="0.2">
      <c r="A16" s="5">
        <v>46003</v>
      </c>
      <c r="B16" s="11">
        <v>214832</v>
      </c>
      <c r="C16" s="8">
        <v>214832</v>
      </c>
      <c r="AF16" s="1"/>
    </row>
    <row r="17" spans="1:32" x14ac:dyDescent="0.2">
      <c r="A17" s="5">
        <v>46004</v>
      </c>
      <c r="B17" s="11">
        <v>195632</v>
      </c>
      <c r="C17" s="8">
        <v>195632</v>
      </c>
      <c r="AF17" s="1"/>
    </row>
    <row r="18" spans="1:32" x14ac:dyDescent="0.2">
      <c r="A18" s="5">
        <v>46005</v>
      </c>
      <c r="B18" s="11">
        <v>123899</v>
      </c>
      <c r="C18" s="8">
        <v>123899</v>
      </c>
      <c r="AF18" s="1"/>
    </row>
    <row r="19" spans="1:32" x14ac:dyDescent="0.2">
      <c r="A19" s="5">
        <v>46006</v>
      </c>
      <c r="B19" s="11">
        <v>146727</v>
      </c>
      <c r="C19" s="8">
        <v>146727</v>
      </c>
      <c r="AF19" s="1"/>
    </row>
    <row r="20" spans="1:32" x14ac:dyDescent="0.2">
      <c r="A20" s="5">
        <v>46007</v>
      </c>
      <c r="B20" s="11">
        <v>157910</v>
      </c>
      <c r="C20" s="8">
        <v>157910</v>
      </c>
      <c r="AF20" s="1"/>
    </row>
    <row r="21" spans="1:32" x14ac:dyDescent="0.2">
      <c r="A21" s="5">
        <v>46008</v>
      </c>
      <c r="B21" s="11">
        <v>188576</v>
      </c>
      <c r="C21" s="8">
        <v>188576</v>
      </c>
      <c r="AF21" s="1"/>
    </row>
    <row r="22" spans="1:32" x14ac:dyDescent="0.2">
      <c r="A22" s="5">
        <v>46009</v>
      </c>
      <c r="B22" s="11">
        <v>162736</v>
      </c>
      <c r="C22" s="8">
        <v>162736</v>
      </c>
      <c r="AF22" s="1"/>
    </row>
    <row r="23" spans="1:32" x14ac:dyDescent="0.2">
      <c r="A23" s="5">
        <v>46010</v>
      </c>
      <c r="B23" s="11">
        <v>143269</v>
      </c>
      <c r="C23" s="8">
        <v>143269</v>
      </c>
      <c r="AF23" s="1"/>
    </row>
    <row r="24" spans="1:32" x14ac:dyDescent="0.2">
      <c r="A24" s="5">
        <v>46011</v>
      </c>
      <c r="B24" s="11">
        <v>151478</v>
      </c>
      <c r="C24" s="8">
        <v>151478</v>
      </c>
      <c r="AF24" s="1"/>
    </row>
    <row r="25" spans="1:32" x14ac:dyDescent="0.2">
      <c r="A25" s="5">
        <v>46012</v>
      </c>
      <c r="B25" s="11">
        <v>104644</v>
      </c>
      <c r="C25" s="8">
        <v>104644</v>
      </c>
      <c r="AF25" s="1"/>
    </row>
    <row r="26" spans="1:32" x14ac:dyDescent="0.2">
      <c r="A26" s="5">
        <v>46013</v>
      </c>
      <c r="B26" s="11">
        <v>158335</v>
      </c>
      <c r="C26" s="8">
        <v>158335</v>
      </c>
      <c r="AF26" s="1"/>
    </row>
    <row r="27" spans="1:32" x14ac:dyDescent="0.2">
      <c r="A27" s="5">
        <v>46014</v>
      </c>
      <c r="B27" s="11">
        <v>157511</v>
      </c>
      <c r="C27" s="8">
        <v>157511</v>
      </c>
      <c r="AF27" s="1"/>
    </row>
    <row r="28" spans="1:32" x14ac:dyDescent="0.2">
      <c r="A28" s="5">
        <v>46015</v>
      </c>
      <c r="B28" s="11">
        <v>98678</v>
      </c>
      <c r="C28" s="8">
        <v>98678</v>
      </c>
      <c r="AF28" s="1"/>
    </row>
    <row r="29" spans="1:32" x14ac:dyDescent="0.2">
      <c r="A29" s="5">
        <v>46016</v>
      </c>
      <c r="B29" s="11">
        <v>123027</v>
      </c>
      <c r="C29" s="8">
        <v>123027</v>
      </c>
      <c r="AF29" s="1"/>
    </row>
    <row r="30" spans="1:32" x14ac:dyDescent="0.2">
      <c r="A30" s="5">
        <v>46017</v>
      </c>
      <c r="B30" s="11">
        <v>125760</v>
      </c>
      <c r="C30" s="8">
        <v>125760</v>
      </c>
      <c r="AF30" s="1"/>
    </row>
    <row r="31" spans="1:32" x14ac:dyDescent="0.2">
      <c r="A31" s="5">
        <v>46018</v>
      </c>
      <c r="B31" s="11">
        <v>93906</v>
      </c>
      <c r="C31" s="8">
        <v>93906</v>
      </c>
      <c r="AF31" s="1"/>
    </row>
    <row r="32" spans="1:32" x14ac:dyDescent="0.2">
      <c r="A32" s="5">
        <v>46019</v>
      </c>
      <c r="B32" s="11">
        <v>130414</v>
      </c>
      <c r="C32" s="8">
        <v>130414</v>
      </c>
      <c r="AF32" s="1"/>
    </row>
    <row r="33" spans="1:32" x14ac:dyDescent="0.2">
      <c r="A33" s="5">
        <v>46020</v>
      </c>
      <c r="B33" s="11">
        <v>144820</v>
      </c>
      <c r="C33" s="8">
        <v>144820</v>
      </c>
      <c r="AF33" s="1"/>
    </row>
    <row r="34" spans="1:32" x14ac:dyDescent="0.2">
      <c r="A34" s="5">
        <v>46021</v>
      </c>
      <c r="B34" s="11">
        <v>128497</v>
      </c>
      <c r="C34" s="8">
        <v>128497</v>
      </c>
      <c r="AF34" s="1"/>
    </row>
    <row r="35" spans="1:32" x14ac:dyDescent="0.2">
      <c r="A35" s="5">
        <v>46022</v>
      </c>
      <c r="B35" s="11">
        <v>103497</v>
      </c>
      <c r="C35" s="8">
        <v>103497</v>
      </c>
      <c r="AF35" s="1"/>
    </row>
    <row r="36" spans="1:32" x14ac:dyDescent="0.2">
      <c r="A36" s="5">
        <v>46023</v>
      </c>
      <c r="B36" s="11">
        <v>115365</v>
      </c>
      <c r="C36" s="8">
        <v>115365</v>
      </c>
      <c r="AF36" s="1"/>
    </row>
    <row r="37" spans="1:32" x14ac:dyDescent="0.2">
      <c r="A37" s="5">
        <v>46024</v>
      </c>
      <c r="B37" s="11">
        <v>112470</v>
      </c>
      <c r="C37" s="8">
        <v>112470</v>
      </c>
      <c r="AF37" s="1"/>
    </row>
    <row r="38" spans="1:32" x14ac:dyDescent="0.2">
      <c r="A38" s="5">
        <v>46025</v>
      </c>
      <c r="B38" s="11">
        <v>87273</v>
      </c>
      <c r="C38" s="8">
        <v>87273</v>
      </c>
      <c r="AF38" s="1"/>
    </row>
    <row r="39" spans="1:32" x14ac:dyDescent="0.2">
      <c r="A39" s="5">
        <v>46026</v>
      </c>
      <c r="B39" s="11">
        <v>91899</v>
      </c>
      <c r="C39" s="8">
        <v>91899</v>
      </c>
      <c r="AF39" s="1"/>
    </row>
    <row r="40" spans="1:32" x14ac:dyDescent="0.2">
      <c r="A40" s="5">
        <v>46027</v>
      </c>
      <c r="B40" s="11">
        <v>127081</v>
      </c>
      <c r="C40" s="8">
        <v>127081</v>
      </c>
      <c r="AF40" s="1"/>
    </row>
    <row r="41" spans="1:32" x14ac:dyDescent="0.2">
      <c r="A41" s="5">
        <v>46028</v>
      </c>
      <c r="B41" s="11">
        <v>118923</v>
      </c>
      <c r="C41" s="8">
        <v>118923</v>
      </c>
      <c r="AF41" s="1"/>
    </row>
    <row r="42" spans="1:32" x14ac:dyDescent="0.2">
      <c r="A42" s="5">
        <v>46029</v>
      </c>
      <c r="B42" s="11">
        <v>146196</v>
      </c>
      <c r="C42" s="8">
        <v>146196</v>
      </c>
      <c r="AF42" s="1"/>
    </row>
    <row r="43" spans="1:32" x14ac:dyDescent="0.2">
      <c r="A43" s="5">
        <v>46030</v>
      </c>
      <c r="B43" s="11">
        <v>131943</v>
      </c>
      <c r="C43" s="8">
        <v>131943</v>
      </c>
      <c r="AF43" s="1"/>
    </row>
    <row r="44" spans="1:32" x14ac:dyDescent="0.2">
      <c r="A44" s="5">
        <v>46031</v>
      </c>
      <c r="B44" s="11">
        <v>87911</v>
      </c>
      <c r="C44" s="8">
        <v>87911</v>
      </c>
      <c r="AF44" s="1"/>
    </row>
    <row r="45" spans="1:32" x14ac:dyDescent="0.2">
      <c r="A45" s="5">
        <v>46032</v>
      </c>
      <c r="B45" s="11">
        <v>129350</v>
      </c>
      <c r="C45" s="8">
        <v>129350</v>
      </c>
      <c r="AF45" s="1"/>
    </row>
    <row r="46" spans="1:32" x14ac:dyDescent="0.2">
      <c r="A46" s="5">
        <v>46033</v>
      </c>
      <c r="B46" s="11">
        <v>87163</v>
      </c>
      <c r="C46" s="8">
        <v>87163</v>
      </c>
      <c r="AF46" s="1"/>
    </row>
    <row r="47" spans="1:32" x14ac:dyDescent="0.2">
      <c r="A47" s="5">
        <v>46034</v>
      </c>
      <c r="B47" s="11">
        <v>72633</v>
      </c>
      <c r="C47" s="8">
        <v>72633</v>
      </c>
      <c r="AF47" s="1"/>
    </row>
    <row r="48" spans="1:32" x14ac:dyDescent="0.2">
      <c r="A48" s="5">
        <v>46035</v>
      </c>
      <c r="B48" s="11">
        <v>95455</v>
      </c>
      <c r="C48" s="8">
        <v>95455</v>
      </c>
      <c r="AF48" s="1"/>
    </row>
    <row r="49" spans="1:32" x14ac:dyDescent="0.2">
      <c r="A49" s="5">
        <v>46036</v>
      </c>
      <c r="B49" s="11">
        <v>117061</v>
      </c>
      <c r="C49" s="8">
        <v>117061</v>
      </c>
      <c r="AF49" s="1"/>
    </row>
    <row r="50" spans="1:32" x14ac:dyDescent="0.2">
      <c r="A50" s="5">
        <v>46037</v>
      </c>
      <c r="B50" s="11">
        <v>77079</v>
      </c>
      <c r="C50" s="8">
        <v>77079</v>
      </c>
      <c r="AF50" s="1"/>
    </row>
    <row r="51" spans="1:32" x14ac:dyDescent="0.2">
      <c r="A51" s="5">
        <v>46038</v>
      </c>
      <c r="B51" s="11">
        <v>82669</v>
      </c>
      <c r="C51" s="8">
        <v>82669</v>
      </c>
      <c r="AF51" s="1"/>
    </row>
    <row r="52" spans="1:32" x14ac:dyDescent="0.2">
      <c r="A52" s="5">
        <v>46039</v>
      </c>
      <c r="B52" s="11">
        <v>74776</v>
      </c>
      <c r="C52" s="8">
        <v>74776</v>
      </c>
      <c r="AF52" s="1"/>
    </row>
    <row r="53" spans="1:32" x14ac:dyDescent="0.2">
      <c r="A53" s="5">
        <v>46040</v>
      </c>
      <c r="B53" s="11">
        <v>90533</v>
      </c>
      <c r="C53" s="8">
        <v>90533</v>
      </c>
      <c r="AF53" s="1"/>
    </row>
    <row r="54" spans="1:32" x14ac:dyDescent="0.2">
      <c r="A54" s="5">
        <v>46041</v>
      </c>
      <c r="B54" s="11">
        <v>64761</v>
      </c>
      <c r="C54" s="8">
        <v>64761</v>
      </c>
      <c r="AF54" s="1"/>
    </row>
    <row r="55" spans="1:32" x14ac:dyDescent="0.2">
      <c r="A55" s="5">
        <v>46042</v>
      </c>
      <c r="B55" s="11">
        <v>70712</v>
      </c>
      <c r="C55" s="8">
        <v>70712</v>
      </c>
      <c r="AF55" s="1"/>
    </row>
    <row r="56" spans="1:32" x14ac:dyDescent="0.2">
      <c r="A56" s="5">
        <v>46043</v>
      </c>
      <c r="B56" s="11">
        <v>91045</v>
      </c>
      <c r="C56" s="8">
        <v>91045</v>
      </c>
      <c r="AF56" s="1"/>
    </row>
    <row r="57" spans="1:32" x14ac:dyDescent="0.2">
      <c r="A57" s="5">
        <v>46044</v>
      </c>
      <c r="B57" s="11">
        <v>122687</v>
      </c>
      <c r="C57" s="8">
        <v>122687</v>
      </c>
      <c r="AF57" s="1"/>
    </row>
    <row r="58" spans="1:32" x14ac:dyDescent="0.2">
      <c r="A58" s="5">
        <v>46045</v>
      </c>
      <c r="B58" s="11">
        <v>55661</v>
      </c>
      <c r="C58" s="8">
        <v>55661</v>
      </c>
      <c r="AF58" s="1"/>
    </row>
    <row r="59" spans="1:32" x14ac:dyDescent="0.2">
      <c r="A59" s="5">
        <v>46046</v>
      </c>
      <c r="B59" s="11">
        <v>69876</v>
      </c>
      <c r="C59" s="8">
        <v>69876</v>
      </c>
      <c r="AF59" s="1"/>
    </row>
    <row r="60" spans="1:32" x14ac:dyDescent="0.2">
      <c r="A60" s="5">
        <v>46047</v>
      </c>
      <c r="B60" s="11">
        <v>51679</v>
      </c>
      <c r="C60" s="8">
        <v>51679</v>
      </c>
      <c r="AF60" s="1"/>
    </row>
    <row r="61" spans="1:32" x14ac:dyDescent="0.2">
      <c r="A61" s="5">
        <v>46048</v>
      </c>
      <c r="B61" s="11">
        <v>49703</v>
      </c>
      <c r="C61" s="8">
        <v>49703</v>
      </c>
      <c r="AF61" s="1"/>
    </row>
    <row r="62" spans="1:32" x14ac:dyDescent="0.2">
      <c r="A62" s="5">
        <v>46049</v>
      </c>
      <c r="B62" s="11">
        <v>40681</v>
      </c>
      <c r="C62" s="8">
        <v>40681</v>
      </c>
      <c r="AF62" s="1"/>
    </row>
    <row r="63" spans="1:32" x14ac:dyDescent="0.2">
      <c r="A63" s="5">
        <v>46050</v>
      </c>
      <c r="B63" s="11">
        <v>94663</v>
      </c>
      <c r="C63" s="8">
        <v>94663</v>
      </c>
      <c r="AF63" s="1"/>
    </row>
    <row r="64" spans="1:32" x14ac:dyDescent="0.2">
      <c r="A64" s="5">
        <v>46051</v>
      </c>
      <c r="B64" s="11">
        <v>48741</v>
      </c>
      <c r="C64" s="8">
        <v>48741</v>
      </c>
      <c r="AF64" s="1"/>
    </row>
    <row r="65" spans="1:32" x14ac:dyDescent="0.2">
      <c r="A65" s="5">
        <v>46052</v>
      </c>
      <c r="B65" s="11">
        <v>27903</v>
      </c>
      <c r="C65" s="8">
        <v>27903</v>
      </c>
      <c r="AF65" s="1"/>
    </row>
    <row r="66" spans="1:32" x14ac:dyDescent="0.2">
      <c r="A66" s="5">
        <v>46053</v>
      </c>
      <c r="B66" s="11">
        <v>70805</v>
      </c>
      <c r="C66" s="8">
        <v>70805</v>
      </c>
      <c r="AF66" s="1"/>
    </row>
    <row r="67" spans="1:32" x14ac:dyDescent="0.2">
      <c r="A67" s="5">
        <v>46054</v>
      </c>
      <c r="B67" s="11">
        <v>42561</v>
      </c>
      <c r="C67" s="8">
        <v>42561</v>
      </c>
      <c r="AF67" s="1"/>
    </row>
    <row r="68" spans="1:32" x14ac:dyDescent="0.2">
      <c r="A68" s="5">
        <v>46055</v>
      </c>
      <c r="B68" s="11">
        <v>34732</v>
      </c>
      <c r="C68" s="8">
        <v>34732</v>
      </c>
      <c r="AF68" s="1"/>
    </row>
    <row r="69" spans="1:32" x14ac:dyDescent="0.2">
      <c r="A69" s="5">
        <v>46056</v>
      </c>
      <c r="B69" s="11">
        <v>101341</v>
      </c>
      <c r="C69" s="8">
        <v>101341</v>
      </c>
      <c r="AF69" s="1"/>
    </row>
    <row r="70" spans="1:32" x14ac:dyDescent="0.2">
      <c r="A70" s="5">
        <v>46057</v>
      </c>
      <c r="B70" s="11">
        <v>50960</v>
      </c>
      <c r="C70" s="8">
        <v>50960</v>
      </c>
      <c r="AF70" s="1"/>
    </row>
    <row r="71" spans="1:32" x14ac:dyDescent="0.2">
      <c r="A71" s="5">
        <v>46058</v>
      </c>
      <c r="B71" s="11">
        <v>67043</v>
      </c>
      <c r="C71" s="8">
        <v>67043</v>
      </c>
      <c r="AF71" s="1"/>
    </row>
    <row r="72" spans="1:32" x14ac:dyDescent="0.2">
      <c r="A72" s="5">
        <v>46059</v>
      </c>
      <c r="B72" s="11">
        <v>74932</v>
      </c>
      <c r="C72" s="8">
        <v>74932</v>
      </c>
      <c r="AF72" s="1"/>
    </row>
    <row r="73" spans="1:32" x14ac:dyDescent="0.2">
      <c r="A73" s="5">
        <v>46060</v>
      </c>
      <c r="B73" s="11">
        <v>36460</v>
      </c>
      <c r="C73" s="8">
        <v>36460</v>
      </c>
      <c r="AF73" s="1"/>
    </row>
    <row r="74" spans="1:32" x14ac:dyDescent="0.2">
      <c r="A74" s="5">
        <v>46061</v>
      </c>
      <c r="B74" s="11">
        <v>12204</v>
      </c>
      <c r="C74" s="8">
        <v>12204</v>
      </c>
      <c r="AF74" s="1"/>
    </row>
    <row r="75" spans="1:32" x14ac:dyDescent="0.2">
      <c r="A75" s="5">
        <v>46062</v>
      </c>
      <c r="B75" s="11">
        <v>10186</v>
      </c>
      <c r="C75" s="8">
        <v>10186</v>
      </c>
      <c r="AF75" s="1"/>
    </row>
    <row r="76" spans="1:32" x14ac:dyDescent="0.2">
      <c r="A76" s="5">
        <v>46063</v>
      </c>
      <c r="B76" s="11">
        <v>21000</v>
      </c>
      <c r="C76" s="8">
        <v>21000</v>
      </c>
      <c r="AF76" s="1"/>
    </row>
    <row r="77" spans="1:32" x14ac:dyDescent="0.2">
      <c r="A77" s="5">
        <v>46064</v>
      </c>
      <c r="B77" s="11">
        <v>50204</v>
      </c>
      <c r="C77" s="8">
        <v>50204</v>
      </c>
      <c r="AF77" s="1"/>
    </row>
    <row r="78" spans="1:32" x14ac:dyDescent="0.2">
      <c r="A78" s="5">
        <v>46065</v>
      </c>
      <c r="B78" s="11">
        <v>19383</v>
      </c>
      <c r="C78" s="8">
        <v>19383</v>
      </c>
      <c r="AF78" s="1"/>
    </row>
    <row r="79" spans="1:32" x14ac:dyDescent="0.2">
      <c r="A79" s="5">
        <v>46066</v>
      </c>
      <c r="B79" s="11">
        <v>15880</v>
      </c>
      <c r="C79" s="8">
        <v>15880</v>
      </c>
      <c r="AF79" s="1"/>
    </row>
    <row r="80" spans="1:32" x14ac:dyDescent="0.2">
      <c r="A80" s="5">
        <v>46067</v>
      </c>
      <c r="B80" s="11">
        <v>49916</v>
      </c>
      <c r="C80" s="8">
        <v>49916</v>
      </c>
      <c r="AF80" s="1"/>
    </row>
    <row r="81" spans="1:32" x14ac:dyDescent="0.2">
      <c r="A81" s="5">
        <v>46068</v>
      </c>
      <c r="B81" s="11">
        <v>18125</v>
      </c>
      <c r="C81" s="8">
        <v>18125</v>
      </c>
      <c r="AF81" s="1"/>
    </row>
    <row r="82" spans="1:32" x14ac:dyDescent="0.2">
      <c r="A82" s="5">
        <v>46069</v>
      </c>
      <c r="B82" s="11">
        <v>2448</v>
      </c>
      <c r="C82" s="8">
        <v>2448</v>
      </c>
      <c r="AF82" s="1"/>
    </row>
    <row r="83" spans="1:32" x14ac:dyDescent="0.2">
      <c r="A83" s="5">
        <v>46070</v>
      </c>
      <c r="B83" s="11">
        <v>32959</v>
      </c>
      <c r="C83" s="8">
        <v>32959</v>
      </c>
      <c r="AF83" s="1"/>
    </row>
    <row r="84" spans="1:32" x14ac:dyDescent="0.2">
      <c r="A84" s="5">
        <v>46071</v>
      </c>
      <c r="B84" s="11">
        <v>6177</v>
      </c>
      <c r="C84" s="8">
        <v>6177</v>
      </c>
      <c r="AF84" s="1"/>
    </row>
    <row r="85" spans="1:32" x14ac:dyDescent="0.2">
      <c r="A85" s="5">
        <v>46072</v>
      </c>
      <c r="B85" s="11">
        <v>17316</v>
      </c>
      <c r="C85" s="8">
        <v>17316</v>
      </c>
      <c r="AF85" s="1"/>
    </row>
    <row r="86" spans="1:32" x14ac:dyDescent="0.2">
      <c r="A86" s="5">
        <v>46073</v>
      </c>
      <c r="B86" s="11">
        <v>2976</v>
      </c>
      <c r="C86" s="8">
        <v>2976</v>
      </c>
      <c r="AF86" s="1"/>
    </row>
    <row r="87" spans="1:32" x14ac:dyDescent="0.2">
      <c r="A87" s="5">
        <v>46074</v>
      </c>
      <c r="B87" s="11">
        <v>26099</v>
      </c>
      <c r="C87" s="8">
        <v>26099</v>
      </c>
      <c r="AF87" s="1"/>
    </row>
    <row r="88" spans="1:32" x14ac:dyDescent="0.2">
      <c r="A88" s="5">
        <v>46075</v>
      </c>
      <c r="B88" s="11">
        <v>17702</v>
      </c>
      <c r="C88" s="8">
        <v>17702</v>
      </c>
      <c r="AF88" s="1"/>
    </row>
    <row r="89" spans="1:32" x14ac:dyDescent="0.2">
      <c r="A89" s="5">
        <v>46076</v>
      </c>
      <c r="B89" s="11">
        <v>30698</v>
      </c>
      <c r="C89" s="8">
        <v>30698</v>
      </c>
      <c r="AF89" s="1"/>
    </row>
    <row r="90" spans="1:32" x14ac:dyDescent="0.2">
      <c r="A90" s="5">
        <v>46077</v>
      </c>
      <c r="B90" s="11">
        <v>8495</v>
      </c>
      <c r="C90" s="8">
        <v>8495</v>
      </c>
      <c r="AF90" s="1"/>
    </row>
    <row r="91" spans="1:32" x14ac:dyDescent="0.2">
      <c r="A91" s="5">
        <v>46078</v>
      </c>
      <c r="B91" s="11">
        <v>3285</v>
      </c>
      <c r="C91" s="8">
        <v>3285</v>
      </c>
      <c r="AF91" s="1"/>
    </row>
    <row r="92" spans="1:32" x14ac:dyDescent="0.2">
      <c r="A92" s="5">
        <v>46079</v>
      </c>
      <c r="B92" s="11">
        <v>15993</v>
      </c>
      <c r="C92" s="8">
        <v>15993</v>
      </c>
      <c r="AF92" s="1"/>
    </row>
    <row r="93" spans="1:32" x14ac:dyDescent="0.2">
      <c r="A93" s="5">
        <v>46080</v>
      </c>
      <c r="B93" s="11">
        <v>4513</v>
      </c>
      <c r="C93" s="8">
        <v>4513</v>
      </c>
      <c r="AF93" s="1"/>
    </row>
    <row r="94" spans="1:32" x14ac:dyDescent="0.2">
      <c r="A94" s="5">
        <v>46081</v>
      </c>
      <c r="B94" s="11">
        <v>38031</v>
      </c>
      <c r="C94" s="8">
        <v>38031</v>
      </c>
      <c r="AF94" s="1"/>
    </row>
    <row r="95" spans="1:32" x14ac:dyDescent="0.2">
      <c r="A95" s="5">
        <v>46082</v>
      </c>
      <c r="B95" s="11">
        <v>34463</v>
      </c>
      <c r="C95" s="8">
        <v>34463</v>
      </c>
      <c r="AF95" s="1"/>
    </row>
    <row r="96" spans="1:32" x14ac:dyDescent="0.2">
      <c r="A96" s="1">
        <v>46083</v>
      </c>
      <c r="B96" s="12">
        <v>1936</v>
      </c>
      <c r="C96" s="3">
        <v>1936</v>
      </c>
      <c r="AF96" s="1"/>
    </row>
    <row r="97" spans="1:32" x14ac:dyDescent="0.2">
      <c r="A97" s="1">
        <v>46084</v>
      </c>
      <c r="B97" s="12">
        <v>7014</v>
      </c>
      <c r="C97" s="3">
        <v>7014</v>
      </c>
      <c r="AF97" s="1"/>
    </row>
    <row r="98" spans="1:32" x14ac:dyDescent="0.2">
      <c r="A98" s="1">
        <v>46085</v>
      </c>
      <c r="B98" s="12">
        <v>38238</v>
      </c>
      <c r="C98" s="3">
        <v>38238</v>
      </c>
      <c r="AF98" s="1"/>
    </row>
    <row r="99" spans="1:32" x14ac:dyDescent="0.2">
      <c r="A99" s="1">
        <v>46086</v>
      </c>
      <c r="B99" s="12">
        <v>30204</v>
      </c>
      <c r="C99" s="3">
        <v>30204</v>
      </c>
      <c r="AF99" s="1"/>
    </row>
    <row r="100" spans="1:32" x14ac:dyDescent="0.2">
      <c r="A100" s="1">
        <v>46087</v>
      </c>
      <c r="B100" s="12">
        <v>9135</v>
      </c>
      <c r="C100" s="3">
        <v>9135</v>
      </c>
      <c r="AF100" s="1"/>
    </row>
    <row r="101" spans="1:32" x14ac:dyDescent="0.2">
      <c r="A101" s="1">
        <v>46088</v>
      </c>
      <c r="B101" s="12">
        <v>53306</v>
      </c>
      <c r="C101" s="3">
        <v>53306</v>
      </c>
      <c r="AF101" s="1"/>
    </row>
    <row r="102" spans="1:32" x14ac:dyDescent="0.2">
      <c r="A102" s="1">
        <v>46089</v>
      </c>
      <c r="B102" s="12">
        <v>10527</v>
      </c>
      <c r="C102" s="3">
        <v>10527</v>
      </c>
      <c r="AF102" s="1"/>
    </row>
    <row r="103" spans="1:32" x14ac:dyDescent="0.2">
      <c r="A103" s="1">
        <v>46090</v>
      </c>
      <c r="B103" s="12">
        <v>3035</v>
      </c>
      <c r="C103" s="3">
        <v>3035</v>
      </c>
      <c r="AF103" s="1"/>
    </row>
    <row r="104" spans="1:32" x14ac:dyDescent="0.2">
      <c r="A104" s="1">
        <v>46091</v>
      </c>
      <c r="B104" s="12">
        <v>4325</v>
      </c>
      <c r="C104" s="3">
        <v>4325</v>
      </c>
      <c r="AF104" s="1"/>
    </row>
    <row r="105" spans="1:32" x14ac:dyDescent="0.2">
      <c r="A105" s="1">
        <v>46092</v>
      </c>
      <c r="B105" s="12">
        <v>28858</v>
      </c>
      <c r="C105" s="3">
        <v>28858</v>
      </c>
      <c r="AF105" s="1"/>
    </row>
    <row r="106" spans="1:32" x14ac:dyDescent="0.2">
      <c r="A106" s="1">
        <v>46093</v>
      </c>
      <c r="B106" s="12">
        <v>3149</v>
      </c>
      <c r="C106" s="3">
        <v>3149</v>
      </c>
      <c r="AF106" s="1"/>
    </row>
    <row r="107" spans="1:32" x14ac:dyDescent="0.2">
      <c r="A107" s="1">
        <v>46094</v>
      </c>
      <c r="B107" s="12">
        <v>9932</v>
      </c>
      <c r="C107" s="3">
        <v>9932</v>
      </c>
      <c r="AF107" s="1"/>
    </row>
    <row r="108" spans="1:32" x14ac:dyDescent="0.2">
      <c r="A108" s="1">
        <v>46095</v>
      </c>
      <c r="B108" s="12">
        <v>5596</v>
      </c>
      <c r="C108" s="3">
        <v>5596</v>
      </c>
      <c r="AF108" s="1"/>
    </row>
    <row r="109" spans="1:32" x14ac:dyDescent="0.2">
      <c r="A109" s="1">
        <v>46096</v>
      </c>
      <c r="B109" s="12">
        <v>4241</v>
      </c>
      <c r="C109" s="3">
        <v>4241</v>
      </c>
      <c r="AF109" s="1"/>
    </row>
    <row r="110" spans="1:32" x14ac:dyDescent="0.2">
      <c r="A110" s="1">
        <v>46097</v>
      </c>
      <c r="B110" s="12">
        <v>4599</v>
      </c>
      <c r="C110" s="3">
        <v>4599</v>
      </c>
      <c r="AF110" s="1"/>
    </row>
    <row r="111" spans="1:32" x14ac:dyDescent="0.2">
      <c r="A111" s="1">
        <v>46098</v>
      </c>
      <c r="B111" s="12">
        <v>3752</v>
      </c>
      <c r="C111" s="3">
        <v>3752</v>
      </c>
      <c r="AF111" s="1"/>
    </row>
    <row r="112" spans="1:32" x14ac:dyDescent="0.2">
      <c r="A112" s="1">
        <v>46099</v>
      </c>
      <c r="B112" s="12">
        <v>21412</v>
      </c>
      <c r="C112" s="3">
        <v>21412</v>
      </c>
      <c r="AF112" s="1"/>
    </row>
    <row r="113" spans="1:32" x14ac:dyDescent="0.2">
      <c r="A113" s="1">
        <v>46100</v>
      </c>
      <c r="B113" s="12">
        <v>14166</v>
      </c>
      <c r="C113" s="3">
        <v>14166</v>
      </c>
      <c r="AF113" s="1"/>
    </row>
    <row r="114" spans="1:32" x14ac:dyDescent="0.2">
      <c r="A114" s="1">
        <v>46101</v>
      </c>
      <c r="B114" s="12">
        <v>7818</v>
      </c>
      <c r="C114" s="3">
        <v>7818</v>
      </c>
      <c r="AF114" s="1"/>
    </row>
    <row r="115" spans="1:32" x14ac:dyDescent="0.2">
      <c r="A115" s="1">
        <v>46102</v>
      </c>
      <c r="B115" s="12">
        <v>4135</v>
      </c>
      <c r="C115" s="3">
        <v>4135</v>
      </c>
      <c r="AF115" s="1"/>
    </row>
    <row r="116" spans="1:32" x14ac:dyDescent="0.2">
      <c r="A116" s="1">
        <v>46103</v>
      </c>
      <c r="B116" s="12">
        <v>2868</v>
      </c>
      <c r="C116" s="3">
        <v>2868</v>
      </c>
      <c r="AF116" s="1"/>
    </row>
    <row r="117" spans="1:32" x14ac:dyDescent="0.2">
      <c r="A117" s="1">
        <v>46104</v>
      </c>
      <c r="B117" s="12">
        <v>12377</v>
      </c>
      <c r="C117" s="3">
        <v>12377</v>
      </c>
      <c r="AF117" s="1"/>
    </row>
    <row r="118" spans="1:32" x14ac:dyDescent="0.2">
      <c r="A118" s="1">
        <v>46105</v>
      </c>
      <c r="B118" s="12">
        <v>5396</v>
      </c>
      <c r="C118" s="3">
        <v>5396</v>
      </c>
      <c r="AF118" s="1"/>
    </row>
    <row r="119" spans="1:32" x14ac:dyDescent="0.2">
      <c r="A119" s="1">
        <v>46106</v>
      </c>
      <c r="B119" s="12">
        <v>7096</v>
      </c>
      <c r="C119" s="3">
        <v>7096</v>
      </c>
      <c r="AF119" s="1"/>
    </row>
    <row r="120" spans="1:32" x14ac:dyDescent="0.2">
      <c r="A120" s="1">
        <v>46107</v>
      </c>
      <c r="B120" s="12">
        <v>8392</v>
      </c>
      <c r="C120" s="3">
        <v>8392</v>
      </c>
      <c r="AF120" s="1"/>
    </row>
    <row r="121" spans="1:32" x14ac:dyDescent="0.2">
      <c r="A121" s="1">
        <v>46108</v>
      </c>
      <c r="B121" s="12">
        <v>7505</v>
      </c>
      <c r="C121" s="3">
        <v>7505</v>
      </c>
      <c r="AF121" s="1"/>
    </row>
    <row r="122" spans="1:32" x14ac:dyDescent="0.2">
      <c r="A122" s="1">
        <v>46109</v>
      </c>
      <c r="B122" s="12">
        <v>16607</v>
      </c>
      <c r="C122" s="3">
        <v>16607</v>
      </c>
      <c r="AF122" s="1"/>
    </row>
    <row r="123" spans="1:32" x14ac:dyDescent="0.2">
      <c r="A123" s="1">
        <v>46110</v>
      </c>
      <c r="B123" s="12">
        <v>3726</v>
      </c>
      <c r="C123" s="3">
        <v>3726</v>
      </c>
      <c r="AF123" s="1"/>
    </row>
    <row r="124" spans="1:32" x14ac:dyDescent="0.2">
      <c r="A124" s="1">
        <v>46111</v>
      </c>
      <c r="B124" s="12">
        <v>4165</v>
      </c>
      <c r="C124" s="3">
        <v>4165</v>
      </c>
      <c r="AF124" s="1"/>
    </row>
    <row r="125" spans="1:32" x14ac:dyDescent="0.2">
      <c r="A125" s="1">
        <v>46112</v>
      </c>
      <c r="B125" s="12">
        <v>32085</v>
      </c>
      <c r="C125" s="3">
        <v>32085</v>
      </c>
      <c r="AF125" s="1"/>
    </row>
    <row r="126" spans="1:32" x14ac:dyDescent="0.2">
      <c r="A126" s="1">
        <v>46113</v>
      </c>
      <c r="B126" s="12">
        <v>4714</v>
      </c>
      <c r="C126" s="3">
        <v>4714</v>
      </c>
      <c r="AF126" s="1"/>
    </row>
    <row r="127" spans="1:32" x14ac:dyDescent="0.2">
      <c r="A127" s="1">
        <v>46114</v>
      </c>
      <c r="B127" s="12">
        <v>3713</v>
      </c>
      <c r="C127" s="3">
        <v>3713</v>
      </c>
      <c r="AF127" s="1"/>
    </row>
    <row r="128" spans="1:32" x14ac:dyDescent="0.2">
      <c r="A128" s="1">
        <v>46115</v>
      </c>
      <c r="B128" s="12">
        <v>3392</v>
      </c>
      <c r="C128" s="3">
        <v>3392</v>
      </c>
      <c r="AF128" s="1"/>
    </row>
    <row r="129" spans="1:32" x14ac:dyDescent="0.2">
      <c r="A129" s="1">
        <v>46116</v>
      </c>
      <c r="B129" s="12">
        <v>12676</v>
      </c>
      <c r="C129" s="3">
        <v>12676</v>
      </c>
      <c r="AF129" s="1"/>
    </row>
    <row r="130" spans="1:32" x14ac:dyDescent="0.2">
      <c r="A130" s="1">
        <v>46117</v>
      </c>
      <c r="B130" s="12">
        <v>3604</v>
      </c>
      <c r="C130" s="3">
        <v>3604</v>
      </c>
      <c r="AF130" s="1"/>
    </row>
    <row r="131" spans="1:32" x14ac:dyDescent="0.2">
      <c r="A131" s="1">
        <v>46118</v>
      </c>
      <c r="B131" s="12">
        <v>3598</v>
      </c>
      <c r="C131" s="3">
        <v>3598</v>
      </c>
      <c r="AF131" s="1"/>
    </row>
    <row r="132" spans="1:32" x14ac:dyDescent="0.2">
      <c r="A132" s="1">
        <v>46119</v>
      </c>
      <c r="B132" s="12">
        <v>2501</v>
      </c>
      <c r="C132" s="3">
        <v>2501</v>
      </c>
      <c r="AF132" s="1"/>
    </row>
    <row r="133" spans="1:32" x14ac:dyDescent="0.2">
      <c r="A133" s="1">
        <v>46120</v>
      </c>
      <c r="B133" s="12">
        <v>9247</v>
      </c>
      <c r="C133" s="3">
        <v>9247</v>
      </c>
      <c r="AF133" s="1"/>
    </row>
    <row r="134" spans="1:32" x14ac:dyDescent="0.2">
      <c r="A134" s="1">
        <v>46121</v>
      </c>
      <c r="B134" s="12">
        <v>3532</v>
      </c>
      <c r="C134" s="3">
        <v>3532</v>
      </c>
      <c r="AF134" s="1"/>
    </row>
    <row r="135" spans="1:32" x14ac:dyDescent="0.2">
      <c r="A135" s="1">
        <v>46122</v>
      </c>
      <c r="B135" s="12">
        <v>8987</v>
      </c>
      <c r="C135" s="3">
        <v>8987</v>
      </c>
      <c r="AF135" s="1"/>
    </row>
    <row r="136" spans="1:32" x14ac:dyDescent="0.2">
      <c r="A136" s="1">
        <v>46123</v>
      </c>
      <c r="B136" s="12">
        <v>3590</v>
      </c>
      <c r="C136" s="3">
        <v>3590</v>
      </c>
      <c r="AF136" s="1"/>
    </row>
    <row r="137" spans="1:32" x14ac:dyDescent="0.2">
      <c r="A137" s="1">
        <v>46124</v>
      </c>
      <c r="B137" s="12">
        <v>3714</v>
      </c>
      <c r="C137" s="3">
        <v>3714</v>
      </c>
      <c r="AF137" s="1"/>
    </row>
    <row r="138" spans="1:32" x14ac:dyDescent="0.2">
      <c r="A138" s="1">
        <v>46125</v>
      </c>
      <c r="B138" s="12">
        <v>2767</v>
      </c>
      <c r="C138" s="3">
        <v>2767</v>
      </c>
      <c r="AF138" s="1"/>
    </row>
    <row r="139" spans="1:32" x14ac:dyDescent="0.2">
      <c r="A139" s="1">
        <v>46126</v>
      </c>
      <c r="B139" s="12">
        <v>3622</v>
      </c>
      <c r="C139" s="3">
        <v>3622</v>
      </c>
      <c r="AF139" s="1"/>
    </row>
    <row r="140" spans="1:32" x14ac:dyDescent="0.2">
      <c r="A140" s="1">
        <v>46127</v>
      </c>
      <c r="B140" s="12">
        <v>3136</v>
      </c>
      <c r="C140" s="3">
        <v>3136</v>
      </c>
      <c r="AF140" s="1"/>
    </row>
    <row r="141" spans="1:32" x14ac:dyDescent="0.2">
      <c r="A141" s="1">
        <v>46128</v>
      </c>
      <c r="B141" s="12">
        <v>2753</v>
      </c>
      <c r="C141" s="3">
        <v>2753</v>
      </c>
      <c r="AF141" s="1"/>
    </row>
    <row r="142" spans="1:32" x14ac:dyDescent="0.2">
      <c r="A142" s="1">
        <v>46129</v>
      </c>
      <c r="B142" s="12">
        <v>3271</v>
      </c>
      <c r="C142" s="3">
        <v>3271</v>
      </c>
      <c r="AF142" s="1"/>
    </row>
    <row r="143" spans="1:32" x14ac:dyDescent="0.2">
      <c r="A143" s="1">
        <v>46130</v>
      </c>
      <c r="B143" s="12">
        <v>3556</v>
      </c>
      <c r="C143" s="3">
        <v>3556</v>
      </c>
      <c r="AF143" s="1"/>
    </row>
    <row r="144" spans="1:32" x14ac:dyDescent="0.2">
      <c r="A144" s="1">
        <v>46131</v>
      </c>
      <c r="B144" s="12">
        <v>4673</v>
      </c>
      <c r="C144" s="3">
        <v>4673</v>
      </c>
      <c r="AF144" s="1"/>
    </row>
    <row r="145" spans="1:32" x14ac:dyDescent="0.2">
      <c r="A145" s="1">
        <v>46132</v>
      </c>
      <c r="B145" s="12">
        <v>3561</v>
      </c>
      <c r="C145" s="3">
        <v>3561</v>
      </c>
      <c r="AF145" s="1"/>
    </row>
    <row r="146" spans="1:32" x14ac:dyDescent="0.2">
      <c r="A146" s="1">
        <v>46133</v>
      </c>
      <c r="B146" s="12">
        <v>2857</v>
      </c>
      <c r="C146" s="3">
        <v>2857</v>
      </c>
      <c r="AF146" s="1"/>
    </row>
    <row r="147" spans="1:32" x14ac:dyDescent="0.2">
      <c r="A147" s="1">
        <v>46134</v>
      </c>
      <c r="B147" s="12">
        <v>3304</v>
      </c>
      <c r="C147" s="3">
        <v>3304</v>
      </c>
      <c r="AF147" s="1"/>
    </row>
  </sheetData>
  <mergeCells count="1"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47"/>
  <sheetViews>
    <sheetView workbookViewId="0">
      <selection activeCell="J36" sqref="J36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11" x14ac:dyDescent="0.2">
      <c r="A1" s="5" t="s">
        <v>37</v>
      </c>
      <c r="B1" s="9" t="s">
        <v>132</v>
      </c>
      <c r="C1" s="3" t="s">
        <v>42</v>
      </c>
      <c r="D1" s="8" t="s">
        <v>41</v>
      </c>
      <c r="E1" s="6"/>
      <c r="H1" s="16" t="s">
        <v>125</v>
      </c>
      <c r="I1" s="16"/>
      <c r="J1" s="16"/>
    </row>
    <row r="2" spans="1:11" x14ac:dyDescent="0.2">
      <c r="A2" s="5">
        <v>45989</v>
      </c>
      <c r="B2" s="9">
        <f>ROUNDUP(C2,0)</f>
        <v>23</v>
      </c>
      <c r="C2" s="3">
        <v>22.09</v>
      </c>
      <c r="D2" s="8">
        <v>1326</v>
      </c>
      <c r="E2" s="6"/>
      <c r="F2" s="9"/>
      <c r="G2" t="s">
        <v>118</v>
      </c>
      <c r="H2" t="s">
        <v>43</v>
      </c>
      <c r="I2" t="s">
        <v>44</v>
      </c>
      <c r="J2" t="s">
        <v>117</v>
      </c>
      <c r="K2" t="s">
        <v>131</v>
      </c>
    </row>
    <row r="3" spans="1:11" x14ac:dyDescent="0.2">
      <c r="A3" s="5">
        <v>45990</v>
      </c>
      <c r="B3" s="9">
        <f t="shared" ref="B3:B66" si="0">ROUNDUP(C3,0)</f>
        <v>16</v>
      </c>
      <c r="C3" s="3">
        <v>15.12</v>
      </c>
      <c r="D3" s="8">
        <v>907</v>
      </c>
      <c r="E3" s="6"/>
      <c r="G3" t="s">
        <v>125</v>
      </c>
      <c r="H3" s="9">
        <f>AVERAGE(C35:C65)</f>
        <v>86.739354838709673</v>
      </c>
      <c r="I3" s="9">
        <f>AVERAGE(B67:B94)</f>
        <v>31.964285714285715</v>
      </c>
      <c r="J3" s="9">
        <f>AVERAGE(B95:B124)</f>
        <v>14.933333333333334</v>
      </c>
      <c r="K3" s="9">
        <f>AVERAGE(B126:B147)</f>
        <v>4.9090909090909092</v>
      </c>
    </row>
    <row r="4" spans="1:11" x14ac:dyDescent="0.2">
      <c r="A4" s="5">
        <v>45991</v>
      </c>
      <c r="B4" s="9">
        <f t="shared" si="0"/>
        <v>20</v>
      </c>
      <c r="C4" s="3">
        <v>19.809999999999999</v>
      </c>
      <c r="D4" s="8">
        <v>1188</v>
      </c>
      <c r="E4" s="6"/>
    </row>
    <row r="5" spans="1:11" x14ac:dyDescent="0.2">
      <c r="A5" s="5">
        <v>45992</v>
      </c>
      <c r="B5" s="9">
        <f t="shared" si="0"/>
        <v>63</v>
      </c>
      <c r="C5" s="3">
        <v>62.19</v>
      </c>
      <c r="D5" s="8">
        <v>3731</v>
      </c>
      <c r="E5" s="6"/>
      <c r="F5" t="s">
        <v>126</v>
      </c>
    </row>
    <row r="6" spans="1:11" x14ac:dyDescent="0.2">
      <c r="A6" s="5">
        <v>45993</v>
      </c>
      <c r="B6" s="9">
        <f t="shared" si="0"/>
        <v>58</v>
      </c>
      <c r="C6" s="3">
        <v>57.24</v>
      </c>
      <c r="D6" s="8">
        <v>3435</v>
      </c>
      <c r="E6" s="6"/>
      <c r="F6" s="9">
        <f>SUM(C2:C147)</f>
        <v>8000.7899999999981</v>
      </c>
    </row>
    <row r="7" spans="1:11" x14ac:dyDescent="0.2">
      <c r="A7" s="5">
        <v>45994</v>
      </c>
      <c r="B7" s="9">
        <f t="shared" si="0"/>
        <v>73</v>
      </c>
      <c r="C7" s="3">
        <v>72.180000000000007</v>
      </c>
      <c r="D7" s="8">
        <v>4329</v>
      </c>
      <c r="E7" s="6"/>
      <c r="F7" s="3"/>
    </row>
    <row r="8" spans="1:11" x14ac:dyDescent="0.2">
      <c r="A8" s="5">
        <v>45995</v>
      </c>
      <c r="B8" s="9">
        <f t="shared" si="0"/>
        <v>104</v>
      </c>
      <c r="C8" s="3">
        <v>103.34</v>
      </c>
      <c r="D8" s="8">
        <v>6201</v>
      </c>
      <c r="E8" s="6"/>
    </row>
    <row r="9" spans="1:11" x14ac:dyDescent="0.2">
      <c r="A9" s="5">
        <v>45996</v>
      </c>
      <c r="B9" s="9">
        <f t="shared" si="0"/>
        <v>151</v>
      </c>
      <c r="C9" s="3">
        <v>150.16</v>
      </c>
      <c r="D9" s="8">
        <v>9011</v>
      </c>
      <c r="E9" s="6"/>
    </row>
    <row r="10" spans="1:11" x14ac:dyDescent="0.2">
      <c r="A10" s="5">
        <v>45997</v>
      </c>
      <c r="B10" s="9">
        <f t="shared" si="0"/>
        <v>77</v>
      </c>
      <c r="C10" s="3">
        <v>76.3</v>
      </c>
      <c r="D10" s="8">
        <v>4575</v>
      </c>
      <c r="E10" s="6"/>
    </row>
    <row r="11" spans="1:11" x14ac:dyDescent="0.2">
      <c r="A11" s="5">
        <v>45998</v>
      </c>
      <c r="B11" s="9">
        <f t="shared" si="0"/>
        <v>54</v>
      </c>
      <c r="C11" s="3">
        <v>53.89</v>
      </c>
      <c r="D11" s="8">
        <v>3234</v>
      </c>
      <c r="E11" s="6"/>
    </row>
    <row r="12" spans="1:11" x14ac:dyDescent="0.2">
      <c r="A12" s="5">
        <v>45999</v>
      </c>
      <c r="B12" s="9">
        <f t="shared" si="0"/>
        <v>72</v>
      </c>
      <c r="C12" s="3">
        <v>71.290000000000006</v>
      </c>
      <c r="D12" s="8">
        <v>4278</v>
      </c>
      <c r="E12" s="6"/>
    </row>
    <row r="13" spans="1:11" x14ac:dyDescent="0.2">
      <c r="A13" s="5">
        <v>46000</v>
      </c>
      <c r="B13" s="9">
        <f t="shared" si="0"/>
        <v>141</v>
      </c>
      <c r="C13" s="3">
        <v>140.86000000000001</v>
      </c>
      <c r="D13" s="8">
        <v>8453</v>
      </c>
      <c r="E13" s="6"/>
    </row>
    <row r="14" spans="1:11" x14ac:dyDescent="0.2">
      <c r="A14" s="5">
        <v>46001</v>
      </c>
      <c r="B14" s="9">
        <f t="shared" si="0"/>
        <v>127</v>
      </c>
      <c r="C14" s="3">
        <v>126.51</v>
      </c>
      <c r="D14" s="8">
        <v>7594</v>
      </c>
      <c r="E14" s="6"/>
    </row>
    <row r="15" spans="1:11" x14ac:dyDescent="0.2">
      <c r="A15" s="5">
        <v>46002</v>
      </c>
      <c r="B15" s="9">
        <f t="shared" si="0"/>
        <v>114</v>
      </c>
      <c r="C15" s="3">
        <v>113.37</v>
      </c>
      <c r="D15" s="8">
        <v>6802</v>
      </c>
      <c r="E15" s="6"/>
    </row>
    <row r="16" spans="1:11" x14ac:dyDescent="0.2">
      <c r="A16" s="5">
        <v>46003</v>
      </c>
      <c r="B16" s="9">
        <f t="shared" si="0"/>
        <v>183</v>
      </c>
      <c r="C16" s="3">
        <v>182.88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109.34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173.59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161.83000000000001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97.77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155.72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128.88999999999999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</v>
      </c>
      <c r="D30" s="8">
        <v>7845</v>
      </c>
      <c r="E30" s="6"/>
      <c r="M30" s="13"/>
    </row>
    <row r="31" spans="1:13" x14ac:dyDescent="0.2">
      <c r="A31" s="5">
        <v>46018</v>
      </c>
      <c r="B31" s="9">
        <f t="shared" si="0"/>
        <v>93</v>
      </c>
      <c r="C31" s="3">
        <v>92.82</v>
      </c>
      <c r="D31" s="8">
        <v>5571</v>
      </c>
      <c r="E31" s="6"/>
      <c r="M31" s="13"/>
    </row>
    <row r="32" spans="1:13" x14ac:dyDescent="0.2">
      <c r="A32" s="5">
        <v>46019</v>
      </c>
      <c r="B32" s="9">
        <f t="shared" si="0"/>
        <v>144</v>
      </c>
      <c r="C32" s="3">
        <v>143.99</v>
      </c>
      <c r="D32" s="8">
        <v>8638</v>
      </c>
      <c r="E32" s="6"/>
      <c r="M32" s="13"/>
    </row>
    <row r="33" spans="1:13" x14ac:dyDescent="0.2">
      <c r="A33" s="5">
        <v>46020</v>
      </c>
      <c r="B33" s="9">
        <f t="shared" si="0"/>
        <v>138</v>
      </c>
      <c r="C33" s="3">
        <v>137.22</v>
      </c>
      <c r="D33" s="8">
        <v>8234</v>
      </c>
      <c r="E33" s="6"/>
      <c r="M33" s="13"/>
    </row>
    <row r="34" spans="1:13" x14ac:dyDescent="0.2">
      <c r="A34" s="5">
        <v>46021</v>
      </c>
      <c r="B34" s="9">
        <f t="shared" si="0"/>
        <v>132</v>
      </c>
      <c r="C34" s="3">
        <v>131.34</v>
      </c>
      <c r="D34" s="8">
        <v>7879</v>
      </c>
      <c r="E34" s="6"/>
      <c r="M34" s="13"/>
    </row>
    <row r="35" spans="1:13" x14ac:dyDescent="0.2">
      <c r="A35" s="5">
        <v>46022</v>
      </c>
      <c r="B35" s="9">
        <f t="shared" si="0"/>
        <v>109</v>
      </c>
      <c r="C35" s="3">
        <v>108.72</v>
      </c>
      <c r="D35" s="8">
        <v>6524</v>
      </c>
      <c r="E35" s="6"/>
      <c r="M35" s="13"/>
    </row>
    <row r="36" spans="1:13" x14ac:dyDescent="0.2">
      <c r="A36" s="5">
        <v>46023</v>
      </c>
      <c r="B36" s="9">
        <f t="shared" si="0"/>
        <v>106</v>
      </c>
      <c r="C36" s="3">
        <v>105.81</v>
      </c>
      <c r="D36" s="8">
        <v>6350</v>
      </c>
      <c r="E36" s="6"/>
      <c r="M36" s="14"/>
    </row>
    <row r="37" spans="1:13" x14ac:dyDescent="0.2">
      <c r="A37" s="5">
        <v>46024</v>
      </c>
      <c r="B37" s="9">
        <f t="shared" si="0"/>
        <v>151</v>
      </c>
      <c r="C37" s="3">
        <v>150.01</v>
      </c>
      <c r="D37" s="8">
        <v>9001</v>
      </c>
      <c r="E37" s="6"/>
      <c r="M37" s="13"/>
    </row>
    <row r="38" spans="1:13" x14ac:dyDescent="0.2">
      <c r="A38" s="5">
        <v>46025</v>
      </c>
      <c r="B38" s="9">
        <f t="shared" si="0"/>
        <v>76</v>
      </c>
      <c r="C38" s="3">
        <v>75.28</v>
      </c>
      <c r="D38" s="8">
        <v>4515</v>
      </c>
      <c r="E38" s="6"/>
      <c r="M38" s="14"/>
    </row>
    <row r="39" spans="1:13" x14ac:dyDescent="0.2">
      <c r="A39" s="5">
        <v>46026</v>
      </c>
      <c r="B39" s="9">
        <f t="shared" si="0"/>
        <v>90</v>
      </c>
      <c r="C39" s="3">
        <v>89.94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120.07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147.84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115.47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73.11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72.739999999999995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75.569999999999993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74.69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63.15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59.23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39.07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102.34</v>
      </c>
      <c r="D66" s="8">
        <v>6139</v>
      </c>
      <c r="E66" s="6"/>
    </row>
    <row r="67" spans="1:5" x14ac:dyDescent="0.2">
      <c r="A67" s="5">
        <v>46054</v>
      </c>
      <c r="B67" s="9">
        <f t="shared" ref="B67:B130" si="1">ROUNDUP(C67,0)</f>
        <v>36</v>
      </c>
      <c r="C67" s="3">
        <v>35.340000000000003</v>
      </c>
      <c r="D67" s="8">
        <v>2119</v>
      </c>
      <c r="E67" s="6"/>
    </row>
    <row r="68" spans="1:5" x14ac:dyDescent="0.2">
      <c r="A68" s="5">
        <v>46055</v>
      </c>
      <c r="B68" s="9">
        <f t="shared" si="1"/>
        <v>86</v>
      </c>
      <c r="C68" s="3">
        <v>85.84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85.89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77.069999999999993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39.33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10.72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17.84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25.7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40.49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14.43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29.26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18.59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3.12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31.8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35.64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3.3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44.58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79.89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64.010000000000005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12.56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7.28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25.25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9.0399999999999991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4.1399999999999997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2.96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15.34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3.07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2.98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7.39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21.93</v>
      </c>
      <c r="D122" s="3">
        <v>1316</v>
      </c>
    </row>
    <row r="123" spans="1:4" x14ac:dyDescent="0.2">
      <c r="A123" s="1">
        <v>46110</v>
      </c>
      <c r="B123" s="9">
        <f t="shared" si="1"/>
        <v>3</v>
      </c>
      <c r="C123" s="3">
        <v>2.87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</v>
      </c>
      <c r="D124" s="3">
        <v>212</v>
      </c>
    </row>
    <row r="125" spans="1:4" x14ac:dyDescent="0.2">
      <c r="A125" s="1">
        <v>46112</v>
      </c>
      <c r="B125" s="9">
        <f t="shared" si="1"/>
        <v>30</v>
      </c>
      <c r="C125" s="3">
        <v>29.08</v>
      </c>
      <c r="D125" s="3">
        <v>1746</v>
      </c>
    </row>
    <row r="126" spans="1:4" x14ac:dyDescent="0.2">
      <c r="A126" s="1">
        <v>46113</v>
      </c>
      <c r="B126" s="9">
        <f t="shared" si="1"/>
        <v>4</v>
      </c>
      <c r="C126" s="3">
        <v>3.08</v>
      </c>
      <c r="D126" s="3">
        <v>185</v>
      </c>
    </row>
    <row r="127" spans="1:4" x14ac:dyDescent="0.2">
      <c r="A127" s="1">
        <v>46114</v>
      </c>
      <c r="B127" s="9">
        <f t="shared" si="1"/>
        <v>4</v>
      </c>
      <c r="C127" s="3">
        <v>3.33</v>
      </c>
      <c r="D127" s="3">
        <v>199</v>
      </c>
    </row>
    <row r="128" spans="1:4" x14ac:dyDescent="0.2">
      <c r="A128" s="1">
        <v>46115</v>
      </c>
      <c r="B128" s="9">
        <f t="shared" si="1"/>
        <v>4</v>
      </c>
      <c r="C128" s="3">
        <v>3.65</v>
      </c>
      <c r="D128" s="3">
        <v>219</v>
      </c>
    </row>
    <row r="129" spans="1:4" x14ac:dyDescent="0.2">
      <c r="A129" s="1">
        <v>46116</v>
      </c>
      <c r="B129" s="9">
        <f t="shared" si="1"/>
        <v>14</v>
      </c>
      <c r="C129" s="3">
        <v>13.05</v>
      </c>
      <c r="D129" s="3">
        <v>782</v>
      </c>
    </row>
    <row r="130" spans="1:4" x14ac:dyDescent="0.2">
      <c r="A130" s="1">
        <v>46117</v>
      </c>
      <c r="B130" s="9">
        <f t="shared" si="1"/>
        <v>3</v>
      </c>
      <c r="C130" s="3">
        <v>2.5299999999999998</v>
      </c>
      <c r="D130" s="3">
        <v>152</v>
      </c>
    </row>
    <row r="131" spans="1:4" x14ac:dyDescent="0.2">
      <c r="A131" s="1">
        <v>46118</v>
      </c>
      <c r="B131" s="9">
        <f t="shared" ref="B131:B147" si="2">ROUNDUP(C131,0)</f>
        <v>4</v>
      </c>
      <c r="C131" s="3">
        <v>3.29</v>
      </c>
      <c r="D131" s="3">
        <v>198</v>
      </c>
    </row>
    <row r="132" spans="1:4" x14ac:dyDescent="0.2">
      <c r="A132" s="1">
        <v>46119</v>
      </c>
      <c r="B132" s="9">
        <f t="shared" si="2"/>
        <v>3</v>
      </c>
      <c r="C132" s="3">
        <v>2.65</v>
      </c>
      <c r="D132" s="3">
        <v>159</v>
      </c>
    </row>
    <row r="133" spans="1:4" x14ac:dyDescent="0.2">
      <c r="A133" s="1">
        <v>46120</v>
      </c>
      <c r="B133" s="9">
        <f t="shared" si="2"/>
        <v>12</v>
      </c>
      <c r="C133" s="3">
        <v>11.65</v>
      </c>
      <c r="D133" s="3">
        <v>700</v>
      </c>
    </row>
    <row r="134" spans="1:4" x14ac:dyDescent="0.2">
      <c r="A134" s="1">
        <v>46121</v>
      </c>
      <c r="B134" s="9">
        <f t="shared" si="2"/>
        <v>4</v>
      </c>
      <c r="C134" s="3">
        <v>3.42</v>
      </c>
      <c r="D134" s="3">
        <v>205</v>
      </c>
    </row>
    <row r="135" spans="1:4" x14ac:dyDescent="0.2">
      <c r="A135" s="1">
        <v>46122</v>
      </c>
      <c r="B135" s="9">
        <f t="shared" si="2"/>
        <v>10</v>
      </c>
      <c r="C135" s="3">
        <v>9.7799999999999994</v>
      </c>
      <c r="D135" s="3">
        <v>586</v>
      </c>
    </row>
    <row r="136" spans="1:4" x14ac:dyDescent="0.2">
      <c r="A136" s="1">
        <v>46123</v>
      </c>
      <c r="B136" s="9">
        <f t="shared" si="2"/>
        <v>3</v>
      </c>
      <c r="C136" s="3">
        <v>2.97</v>
      </c>
      <c r="D136" s="3">
        <v>179</v>
      </c>
    </row>
    <row r="137" spans="1:4" x14ac:dyDescent="0.2">
      <c r="A137" s="1">
        <v>46124</v>
      </c>
      <c r="B137" s="9">
        <f t="shared" si="2"/>
        <v>4</v>
      </c>
      <c r="C137" s="3">
        <v>3.17</v>
      </c>
      <c r="D137" s="3">
        <v>190</v>
      </c>
    </row>
    <row r="138" spans="1:4" x14ac:dyDescent="0.2">
      <c r="A138" s="1">
        <v>46125</v>
      </c>
      <c r="B138" s="9">
        <f t="shared" si="2"/>
        <v>4</v>
      </c>
      <c r="C138" s="3">
        <v>3.4</v>
      </c>
      <c r="D138" s="3">
        <v>204</v>
      </c>
    </row>
    <row r="139" spans="1:4" x14ac:dyDescent="0.2">
      <c r="A139" s="1">
        <v>46126</v>
      </c>
      <c r="B139" s="9">
        <f t="shared" si="2"/>
        <v>4</v>
      </c>
      <c r="C139" s="3">
        <v>3.1</v>
      </c>
      <c r="D139" s="3">
        <v>187</v>
      </c>
    </row>
    <row r="140" spans="1:4" x14ac:dyDescent="0.2">
      <c r="A140" s="1">
        <v>46127</v>
      </c>
      <c r="B140" s="9">
        <f t="shared" si="2"/>
        <v>4</v>
      </c>
      <c r="C140" s="3">
        <v>3.55</v>
      </c>
      <c r="D140" s="3">
        <v>213</v>
      </c>
    </row>
    <row r="141" spans="1:4" x14ac:dyDescent="0.2">
      <c r="A141" s="1">
        <v>46128</v>
      </c>
      <c r="B141" s="9">
        <f t="shared" si="2"/>
        <v>3</v>
      </c>
      <c r="C141" s="3">
        <v>2.72</v>
      </c>
      <c r="D141" s="3">
        <v>163</v>
      </c>
    </row>
    <row r="142" spans="1:4" x14ac:dyDescent="0.2">
      <c r="A142" s="1">
        <v>46129</v>
      </c>
      <c r="B142" s="9">
        <f t="shared" si="2"/>
        <v>3</v>
      </c>
      <c r="C142" s="3">
        <v>2.7</v>
      </c>
      <c r="D142" s="3">
        <v>162</v>
      </c>
    </row>
    <row r="143" spans="1:4" x14ac:dyDescent="0.2">
      <c r="A143" s="1">
        <v>46130</v>
      </c>
      <c r="B143" s="9">
        <f t="shared" si="2"/>
        <v>3</v>
      </c>
      <c r="C143" s="3">
        <v>2.97</v>
      </c>
      <c r="D143" s="3">
        <v>178</v>
      </c>
    </row>
    <row r="144" spans="1:4" x14ac:dyDescent="0.2">
      <c r="A144" s="1">
        <v>46131</v>
      </c>
      <c r="B144" s="9">
        <f t="shared" si="2"/>
        <v>6</v>
      </c>
      <c r="C144" s="3">
        <v>5.16</v>
      </c>
      <c r="D144" s="3">
        <v>309</v>
      </c>
    </row>
    <row r="145" spans="1:4" x14ac:dyDescent="0.2">
      <c r="A145" s="1">
        <v>46132</v>
      </c>
      <c r="B145" s="9">
        <f t="shared" si="2"/>
        <v>4</v>
      </c>
      <c r="C145" s="3">
        <v>3.44</v>
      </c>
      <c r="D145" s="3">
        <v>206</v>
      </c>
    </row>
    <row r="146" spans="1:4" x14ac:dyDescent="0.2">
      <c r="A146" s="1">
        <v>46133</v>
      </c>
      <c r="B146" s="9">
        <f t="shared" si="2"/>
        <v>4</v>
      </c>
      <c r="C146" s="3">
        <v>3.2</v>
      </c>
      <c r="D146" s="3">
        <v>191</v>
      </c>
    </row>
    <row r="147" spans="1:4" x14ac:dyDescent="0.2">
      <c r="A147" s="1">
        <v>46134</v>
      </c>
      <c r="B147" s="9">
        <f t="shared" si="2"/>
        <v>4</v>
      </c>
      <c r="C147" s="3">
        <v>3.38</v>
      </c>
      <c r="D147" s="3">
        <v>203</v>
      </c>
    </row>
  </sheetData>
  <mergeCells count="1">
    <mergeCell ref="H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zoomScale="141" workbookViewId="0">
      <selection activeCell="F20" sqref="F20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517</v>
      </c>
      <c r="E13" s="13"/>
    </row>
    <row r="14" spans="1:5" x14ac:dyDescent="0.2">
      <c r="A14" t="s">
        <v>25</v>
      </c>
      <c r="B14">
        <v>530</v>
      </c>
      <c r="E14" s="14"/>
    </row>
    <row r="15" spans="1:5" x14ac:dyDescent="0.2">
      <c r="A15" t="s">
        <v>26</v>
      </c>
      <c r="B15">
        <v>715</v>
      </c>
    </row>
    <row r="16" spans="1:5" x14ac:dyDescent="0.2">
      <c r="A16" t="s">
        <v>24</v>
      </c>
      <c r="B16">
        <v>932</v>
      </c>
      <c r="E16" s="13"/>
    </row>
    <row r="17" spans="1:5" x14ac:dyDescent="0.2">
      <c r="A17" t="s">
        <v>22</v>
      </c>
      <c r="B17">
        <v>1615</v>
      </c>
      <c r="E17" s="14"/>
    </row>
    <row r="41" spans="8:8" ht="409.6" x14ac:dyDescent="0.2">
      <c r="H41" s="2" t="s">
        <v>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sqref="A1:B56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38</v>
      </c>
    </row>
    <row r="37" spans="1:2" x14ac:dyDescent="0.2">
      <c r="A37" t="s">
        <v>81</v>
      </c>
      <c r="B37">
        <v>39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240</v>
      </c>
    </row>
    <row r="59" spans="1:10" ht="409.6" x14ac:dyDescent="0.2">
      <c r="J59" s="2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abSelected="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106</v>
      </c>
    </row>
    <row r="26" spans="1:1" x14ac:dyDescent="0.2">
      <c r="A26" s="15" t="s">
        <v>107</v>
      </c>
    </row>
    <row r="27" spans="1:1" x14ac:dyDescent="0.2">
      <c r="A27" s="13" t="s">
        <v>108</v>
      </c>
    </row>
    <row r="28" spans="1:1" x14ac:dyDescent="0.2">
      <c r="A28" s="13" t="s">
        <v>103</v>
      </c>
    </row>
    <row r="29" spans="1:1" x14ac:dyDescent="0.2">
      <c r="A29" s="13" t="s">
        <v>109</v>
      </c>
    </row>
    <row r="30" spans="1:1" x14ac:dyDescent="0.2">
      <c r="A30" s="13" t="s">
        <v>110</v>
      </c>
    </row>
    <row r="31" spans="1:1" x14ac:dyDescent="0.2">
      <c r="A31" s="13" t="s">
        <v>111</v>
      </c>
    </row>
    <row r="32" spans="1:1" x14ac:dyDescent="0.2">
      <c r="A32" s="13" t="s">
        <v>112</v>
      </c>
    </row>
    <row r="33" spans="1:1" x14ac:dyDescent="0.2">
      <c r="A33" s="13" t="s">
        <v>113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2026-04-24T05:42:13Z</dcterms:modified>
</cp:coreProperties>
</file>