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_game project/Ajinomoto-conductor/"/>
    </mc:Choice>
  </mc:AlternateContent>
  <xr:revisionPtr revIDLastSave="0" documentId="13_ncr:1_{0F6FAC39-DC23-4541-839B-5B65129D3DFE}" xr6:coauthVersionLast="47" xr6:coauthVersionMax="47" xr10:uidLastSave="{00000000-0000-0000-0000-000000000000}"/>
  <bookViews>
    <workbookView xWindow="0" yWindow="660" windowWidth="30240" windowHeight="18980" activeTab="4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1" l="1"/>
  <c r="H3" i="11"/>
  <c r="E7" i="10"/>
  <c r="H3" i="10"/>
  <c r="G3" i="10"/>
  <c r="F3" i="10"/>
  <c r="B12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4" i="11"/>
  <c r="B3" i="11"/>
  <c r="B2" i="11"/>
  <c r="I3" i="11" l="1"/>
  <c r="J3" i="11"/>
  <c r="L9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  <c r="I12" i="9" l="1"/>
  <c r="H3" i="9"/>
  <c r="I3" i="9"/>
  <c r="J3" i="9"/>
  <c r="K3" i="9"/>
</calcChain>
</file>

<file path=xl/sharedStrings.xml><?xml version="1.0" encoding="utf-8"?>
<sst xmlns="http://schemas.openxmlformats.org/spreadsheetml/2006/main" count="139" uniqueCount="127">
  <si>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</si>
  <si>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</si>
  <si>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</si>
  <si>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</si>
  <si>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</si>
  <si>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</si>
  <si>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</si>
  <si>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</si>
  <si>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</si>
  <si>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</si>
  <si>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</si>
  <si>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</si>
  <si>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</si>
  <si>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</si>
  <si>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</si>
  <si>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</si>
  <si>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</si>
  <si>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</si>
  <si>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</si>
  <si>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</si>
  <si>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</si>
  <si>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</si>
  <si>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</si>
  <si>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</si>
  <si>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</si>
  <si>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</si>
  <si>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</si>
  <si>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</si>
  <si>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</si>
  <si>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</si>
  <si>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</si>
  <si>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</si>
  <si>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</si>
  <si>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</si>
  <si>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</si>
  <si>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</si>
  <si>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</si>
  <si>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</si>
  <si>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</si>
  <si>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</si>
  <si>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</si>
  <si>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</si>
  <si>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</si>
  <si>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</si>
  <si>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</si>
  <si>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</si>
  <si>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</si>
  <si>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</si>
  <si>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</si>
  <si>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</si>
  <si>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</si>
  <si>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</si>
  <si>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</si>
  <si>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</si>
  <si>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</si>
  <si>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</si>
  <si>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</si>
  <si>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</si>
  <si>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</si>
  <si>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</si>
  <si>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</si>
  <si>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</si>
  <si>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</si>
  <si>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</si>
  <si>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</si>
  <si>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</si>
  <si>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</si>
  <si>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</si>
  <si>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</si>
  <si>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</si>
  <si>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</si>
  <si>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</si>
  <si>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</si>
  <si>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</si>
  <si>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</si>
  <si>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</si>
  <si>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</si>
  <si>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</si>
  <si>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</si>
  <si>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</si>
  <si>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</si>
  <si>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</si>
  <si>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</si>
  <si>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</si>
  <si>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</si>
  <si>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</si>
  <si>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</si>
  <si>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</si>
  <si>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</si>
  <si>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</si>
  <si>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</si>
  <si>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</si>
  <si>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</si>
  <si>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</si>
  <si>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</si>
  <si>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</si>
  <si>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</si>
  <si>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</si>
  <si>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</si>
  <si>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</si>
  <si>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</si>
  <si>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</si>
  <si>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</si>
  <si>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</si>
  <si>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</si>
  <si>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</si>
  <si>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</si>
  <si>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</si>
  <si>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</si>
  <si>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</si>
  <si>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</si>
  <si>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</si>
  <si>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</si>
  <si>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</si>
  <si>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avg(March)</t>
  </si>
  <si>
    <t>march</t>
  </si>
  <si>
    <t>AVG(March)</t>
  </si>
  <si>
    <t>Avg (March)</t>
  </si>
  <si>
    <t>Month</t>
  </si>
  <si>
    <t>February</t>
  </si>
  <si>
    <t>March</t>
  </si>
  <si>
    <t>Average user</t>
  </si>
  <si>
    <t>user stickiness average</t>
  </si>
  <si>
    <t>Average total score</t>
  </si>
  <si>
    <t xml:space="preserve">sum_total_score
</t>
  </si>
  <si>
    <t>Average total_duration_min</t>
  </si>
  <si>
    <t>sum_total_duration_min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</si>
</sst>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user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Engagement'!$A$36:$A$94</c:f>
            </c:numRef>
          </c:cat>
          <c:val>
            <c:numRef>
              <c:f>'User Engagement'!$B$36:$B$94</c:f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v>returning User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Engagement'!$A$36:$A$94</c:f>
            </c:numRef>
          </c:cat>
          <c:val>
            <c:numRef>
              <c:f>'User Engagement'!$C$36:$C$94</c:f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'!$A$67:$A$94</c:f>
            </c:numRef>
          </c:cat>
          <c:val>
            <c:numRef>
              <c:f>'gameplay_report(score) '!$B$67:$B$94</c:f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'!$A$36:$A$94</c:f>
            </c:numRef>
          </c:cat>
          <c:val>
            <c:numRef>
              <c:f>'gameplay_report(time) '!$B$36:$B$94</c:f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state!$B$12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</c:strRef>
          </c:cat>
          <c:val>
            <c:numRef>
              <c:f>state!$B$12:$B$17</c:f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</c:strRef>
          </c:cat>
          <c:val>
            <c:numRef>
              <c:f>menu!$B$2:$B$56</c:f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</c:strRef>
          </c:cat>
          <c:val>
            <c:numRef>
              <c:f>score!$C$2:$C$11</c:f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C5"/>
  <sheetViews>
    <sheetView zoomScale="133" workbookViewId="0">
      <selection activeCell="D11" sqref="D11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572</v>
      </c>
      <c r="C2">
        <v>644</v>
      </c>
    </row>
    <row r="3" spans="1:3" x14ac:dyDescent="0.2">
      <c r="A3" t="s">
        <v>17</v>
      </c>
      <c r="B3">
        <v>510</v>
      </c>
      <c r="C3">
        <v>565</v>
      </c>
    </row>
    <row r="4" spans="1:3" x14ac:dyDescent="0.2">
      <c r="A4" t="s">
        <v>2</v>
      </c>
      <c r="B4">
        <v>230</v>
      </c>
      <c r="C4">
        <v>252</v>
      </c>
    </row>
    <row r="5" spans="1:3" x14ac:dyDescent="0.2">
      <c r="A5" t="s">
        <v>118</v>
      </c>
      <c r="B5" t="s">
        <v>119</v>
      </c>
      <c r="C5" t="s">
        <v>120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L123"/>
  <sheetViews>
    <sheetView zoomScale="81" zoomScaleNormal="80" workbookViewId="0">
      <selection activeCell="I21" sqref="I21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6</v>
      </c>
      <c r="D1" t="s">
        <v>13</v>
      </c>
      <c r="H1" s="16" t="s">
        <v>121</v>
      </c>
      <c r="I1" s="16"/>
      <c r="J1" s="16"/>
      <c r="K1" s="16"/>
    </row>
    <row r="2" spans="1:12" x14ac:dyDescent="0.2">
      <c r="A2" s="1">
        <v>45989</v>
      </c>
      <c r="B2">
        <v>10</v>
      </c>
      <c r="C2">
        <v>0</v>
      </c>
      <c r="G2" t="s">
        <v>118</v>
      </c>
      <c r="H2" t="s">
        <v>14</v>
      </c>
      <c r="I2" t="s">
        <v>15</v>
      </c>
      <c r="J2" t="s">
        <v>16</v>
      </c>
      <c r="K2" t="s">
        <v>114</v>
      </c>
    </row>
    <row r="3" spans="1:12" x14ac:dyDescent="0.2">
      <c r="A3" s="1">
        <v>45990</v>
      </c>
      <c r="B3">
        <v>2</v>
      </c>
      <c r="C3">
        <v>2</v>
      </c>
      <c r="G3" t="s">
        <v>121</v>
      </c>
      <c r="H3">
        <f>AVERAGE(D5:D35)</f>
        <v>7.67741935483871</v>
      </c>
      <c r="I3">
        <f>AVERAGE(D36:D66)</f>
        <v>5.67741935483871</v>
      </c>
      <c r="J3">
        <f>AVERAGE(D67:D94)</f>
        <v>4</v>
      </c>
      <c r="K3">
        <f>AVERAGE(D95:D123)</f>
        <v>2.9655172413793105</v>
      </c>
    </row>
    <row r="4" spans="1:12" x14ac:dyDescent="0.2">
      <c r="A4" s="1">
        <v>45991</v>
      </c>
      <c r="B4">
        <v>1</v>
      </c>
      <c r="C4">
        <v>0</v>
      </c>
    </row>
    <row r="5" spans="1:12" x14ac:dyDescent="0.2">
      <c r="A5" s="1">
        <v>45992</v>
      </c>
      <c r="B5">
        <v>2</v>
      </c>
      <c r="C5">
        <v>2</v>
      </c>
      <c r="D5">
        <f>SUM(B5:C5)</f>
        <v>4</v>
      </c>
    </row>
    <row r="6" spans="1:12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118</v>
      </c>
      <c r="I6" t="s">
        <v>7</v>
      </c>
      <c r="J6" t="s">
        <v>8</v>
      </c>
      <c r="K6" t="s">
        <v>9</v>
      </c>
      <c r="L6" t="s">
        <v>115</v>
      </c>
    </row>
    <row r="7" spans="1:12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</row>
    <row r="8" spans="1:12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</row>
    <row r="9" spans="1:12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</row>
    <row r="10" spans="1:12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2" x14ac:dyDescent="0.2">
      <c r="A11" s="1">
        <v>45998</v>
      </c>
      <c r="B11">
        <v>2</v>
      </c>
      <c r="C11">
        <v>4</v>
      </c>
      <c r="D11">
        <f t="shared" si="0"/>
        <v>6</v>
      </c>
      <c r="H11" s="2"/>
    </row>
    <row r="12" spans="1:12" ht="51" x14ac:dyDescent="0.2">
      <c r="A12" s="1">
        <v>45999</v>
      </c>
      <c r="B12">
        <v>3</v>
      </c>
      <c r="C12">
        <v>3</v>
      </c>
      <c r="D12">
        <f t="shared" si="0"/>
        <v>6</v>
      </c>
      <c r="H12" s="2" t="s">
        <v>122</v>
      </c>
      <c r="I12">
        <f>AVERAGE(I9:L9)</f>
        <v>9.9402112338999444</v>
      </c>
    </row>
    <row r="13" spans="1:12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2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2" x14ac:dyDescent="0.2">
      <c r="A15" s="1">
        <v>46002</v>
      </c>
      <c r="B15">
        <v>4</v>
      </c>
      <c r="C15">
        <v>8</v>
      </c>
      <c r="D15">
        <f t="shared" si="0"/>
        <v>12</v>
      </c>
    </row>
    <row r="16" spans="1:12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2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</sheetData>
  <mergeCells count="1">
    <mergeCell ref="H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H124"/>
  <sheetViews>
    <sheetView zoomScale="150" zoomScaleNormal="49" workbookViewId="0">
      <selection activeCell="F60" sqref="F60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8" x14ac:dyDescent="0.2">
      <c r="A1" s="4" t="s">
        <v>37</v>
      </c>
      <c r="B1" s="10" t="s">
        <v>38</v>
      </c>
      <c r="C1" s="7" t="s">
        <v>38</v>
      </c>
      <c r="F1" s="16" t="s">
        <v>123</v>
      </c>
      <c r="G1" s="16"/>
      <c r="H1" s="16"/>
    </row>
    <row r="2" spans="1:8" x14ac:dyDescent="0.2">
      <c r="A2" s="5">
        <v>45989</v>
      </c>
      <c r="B2" s="11">
        <v>22648</v>
      </c>
      <c r="C2" s="8">
        <v>22648</v>
      </c>
      <c r="D2" s="3"/>
      <c r="E2" t="s">
        <v>118</v>
      </c>
      <c r="F2" s="1" t="s">
        <v>39</v>
      </c>
      <c r="G2" s="1" t="s">
        <v>40</v>
      </c>
      <c r="H2" s="1" t="s">
        <v>116</v>
      </c>
    </row>
    <row r="3" spans="1:8" x14ac:dyDescent="0.2">
      <c r="A3" s="5">
        <v>45990</v>
      </c>
      <c r="B3" s="11">
        <v>17590</v>
      </c>
      <c r="C3" s="8">
        <v>17590</v>
      </c>
      <c r="E3" t="s">
        <v>121</v>
      </c>
      <c r="F3" s="3">
        <f>AVERAGE(B36:B66)</f>
        <v>87248.290322580651</v>
      </c>
      <c r="G3" s="3">
        <f>AVERAGE(B67:B94)</f>
        <v>28986.392857142859</v>
      </c>
      <c r="H3" s="3">
        <f>AVERAGE(B95:B124)</f>
        <v>12265.766666666666</v>
      </c>
    </row>
    <row r="4" spans="1:8" x14ac:dyDescent="0.2">
      <c r="A4" s="5">
        <v>45991</v>
      </c>
      <c r="B4" s="11">
        <v>23611</v>
      </c>
      <c r="C4" s="8">
        <v>23611</v>
      </c>
      <c r="H4" s="13"/>
    </row>
    <row r="5" spans="1:8" x14ac:dyDescent="0.2">
      <c r="A5" s="5">
        <v>45992</v>
      </c>
      <c r="B5" s="11">
        <v>69299</v>
      </c>
      <c r="C5" s="8">
        <v>69299</v>
      </c>
      <c r="H5" s="13"/>
    </row>
    <row r="6" spans="1:8" x14ac:dyDescent="0.2">
      <c r="A6" s="5">
        <v>45993</v>
      </c>
      <c r="B6" s="11">
        <v>49006</v>
      </c>
      <c r="C6" s="8">
        <v>49006</v>
      </c>
      <c r="E6" s="17" t="s">
        <v>124</v>
      </c>
      <c r="H6" s="13"/>
    </row>
    <row r="7" spans="1:8" x14ac:dyDescent="0.2">
      <c r="A7" s="5">
        <v>45994</v>
      </c>
      <c r="B7" s="11">
        <v>60593</v>
      </c>
      <c r="C7" s="8">
        <v>60593</v>
      </c>
      <c r="E7" s="3">
        <f>SUM(C2:C124)</f>
        <v>7796142</v>
      </c>
      <c r="H7" s="13"/>
    </row>
    <row r="8" spans="1:8" x14ac:dyDescent="0.2">
      <c r="A8" s="5">
        <v>45995</v>
      </c>
      <c r="B8" s="11">
        <v>112498</v>
      </c>
      <c r="C8" s="8">
        <v>112498</v>
      </c>
      <c r="H8" s="13"/>
    </row>
    <row r="9" spans="1:8" x14ac:dyDescent="0.2">
      <c r="A9" s="5">
        <v>45996</v>
      </c>
      <c r="B9" s="11">
        <v>145294</v>
      </c>
      <c r="C9" s="8">
        <v>145294</v>
      </c>
      <c r="H9" s="14"/>
    </row>
    <row r="10" spans="1:8" x14ac:dyDescent="0.2">
      <c r="A10" s="5">
        <v>45997</v>
      </c>
      <c r="B10" s="11">
        <v>78938</v>
      </c>
      <c r="C10" s="8">
        <v>78938</v>
      </c>
      <c r="H10" s="13"/>
    </row>
    <row r="11" spans="1:8" x14ac:dyDescent="0.2">
      <c r="A11" s="5">
        <v>45998</v>
      </c>
      <c r="B11" s="11">
        <v>56748</v>
      </c>
      <c r="C11" s="8">
        <v>56748</v>
      </c>
      <c r="H11" s="14"/>
    </row>
    <row r="12" spans="1:8" x14ac:dyDescent="0.2">
      <c r="A12" s="5">
        <v>45999</v>
      </c>
      <c r="B12" s="11">
        <v>69137</v>
      </c>
      <c r="C12" s="8">
        <v>69137</v>
      </c>
    </row>
    <row r="13" spans="1:8" x14ac:dyDescent="0.2">
      <c r="A13" s="5">
        <v>46000</v>
      </c>
      <c r="B13" s="11">
        <v>152198</v>
      </c>
      <c r="C13" s="8">
        <v>152198</v>
      </c>
    </row>
    <row r="14" spans="1:8" x14ac:dyDescent="0.2">
      <c r="A14" s="5">
        <v>46001</v>
      </c>
      <c r="B14" s="11">
        <v>85363</v>
      </c>
      <c r="C14" s="8">
        <v>85363</v>
      </c>
    </row>
    <row r="15" spans="1:8" x14ac:dyDescent="0.2">
      <c r="A15" s="5">
        <v>46002</v>
      </c>
      <c r="B15" s="11">
        <v>114782</v>
      </c>
      <c r="C15" s="8">
        <v>114782</v>
      </c>
    </row>
    <row r="16" spans="1:8" x14ac:dyDescent="0.2">
      <c r="A16" s="5">
        <v>46003</v>
      </c>
      <c r="B16" s="11">
        <v>214832</v>
      </c>
      <c r="C16" s="8">
        <v>214832</v>
      </c>
    </row>
    <row r="17" spans="1:3" x14ac:dyDescent="0.2">
      <c r="A17" s="5">
        <v>46004</v>
      </c>
      <c r="B17" s="11">
        <v>195632</v>
      </c>
      <c r="C17" s="8">
        <v>195632</v>
      </c>
    </row>
    <row r="18" spans="1:3" x14ac:dyDescent="0.2">
      <c r="A18" s="5">
        <v>46005</v>
      </c>
      <c r="B18" s="11">
        <v>123899</v>
      </c>
      <c r="C18" s="8">
        <v>123899</v>
      </c>
    </row>
    <row r="19" spans="1:3" x14ac:dyDescent="0.2">
      <c r="A19" s="5">
        <v>46006</v>
      </c>
      <c r="B19" s="11">
        <v>146727</v>
      </c>
      <c r="C19" s="8">
        <v>146727</v>
      </c>
    </row>
    <row r="20" spans="1:3" x14ac:dyDescent="0.2">
      <c r="A20" s="5">
        <v>46007</v>
      </c>
      <c r="B20" s="11">
        <v>157910</v>
      </c>
      <c r="C20" s="8">
        <v>157910</v>
      </c>
    </row>
    <row r="21" spans="1:3" x14ac:dyDescent="0.2">
      <c r="A21" s="5">
        <v>46008</v>
      </c>
      <c r="B21" s="11">
        <v>188576</v>
      </c>
      <c r="C21" s="8">
        <v>188576</v>
      </c>
    </row>
    <row r="22" spans="1:3" x14ac:dyDescent="0.2">
      <c r="A22" s="5">
        <v>46009</v>
      </c>
      <c r="B22" s="11">
        <v>162736</v>
      </c>
      <c r="C22" s="8">
        <v>162736</v>
      </c>
    </row>
    <row r="23" spans="1:3" x14ac:dyDescent="0.2">
      <c r="A23" s="5">
        <v>46010</v>
      </c>
      <c r="B23" s="11">
        <v>143269</v>
      </c>
      <c r="C23" s="8">
        <v>143269</v>
      </c>
    </row>
    <row r="24" spans="1:3" x14ac:dyDescent="0.2">
      <c r="A24" s="5">
        <v>46011</v>
      </c>
      <c r="B24" s="11">
        <v>151478</v>
      </c>
      <c r="C24" s="8">
        <v>151478</v>
      </c>
    </row>
    <row r="25" spans="1:3" x14ac:dyDescent="0.2">
      <c r="A25" s="5">
        <v>46012</v>
      </c>
      <c r="B25" s="11">
        <v>104644</v>
      </c>
      <c r="C25" s="8">
        <v>104644</v>
      </c>
    </row>
    <row r="26" spans="1:3" x14ac:dyDescent="0.2">
      <c r="A26" s="5">
        <v>46013</v>
      </c>
      <c r="B26" s="11">
        <v>158335</v>
      </c>
      <c r="C26" s="8">
        <v>158335</v>
      </c>
    </row>
    <row r="27" spans="1:3" x14ac:dyDescent="0.2">
      <c r="A27" s="5">
        <v>46014</v>
      </c>
      <c r="B27" s="11">
        <v>157511</v>
      </c>
      <c r="C27" s="8">
        <v>157511</v>
      </c>
    </row>
    <row r="28" spans="1:3" x14ac:dyDescent="0.2">
      <c r="A28" s="5">
        <v>46015</v>
      </c>
      <c r="B28" s="11">
        <v>98678</v>
      </c>
      <c r="C28" s="8">
        <v>98678</v>
      </c>
    </row>
    <row r="29" spans="1:3" x14ac:dyDescent="0.2">
      <c r="A29" s="5">
        <v>46016</v>
      </c>
      <c r="B29" s="11">
        <v>123027</v>
      </c>
      <c r="C29" s="8">
        <v>123027</v>
      </c>
    </row>
    <row r="30" spans="1:3" x14ac:dyDescent="0.2">
      <c r="A30" s="5">
        <v>46017</v>
      </c>
      <c r="B30" s="11">
        <v>125760</v>
      </c>
      <c r="C30" s="8">
        <v>125760</v>
      </c>
    </row>
    <row r="31" spans="1:3" x14ac:dyDescent="0.2">
      <c r="A31" s="5">
        <v>46018</v>
      </c>
      <c r="B31" s="11">
        <v>93906</v>
      </c>
      <c r="C31" s="8">
        <v>93906</v>
      </c>
    </row>
    <row r="32" spans="1:3" x14ac:dyDescent="0.2">
      <c r="A32" s="5">
        <v>46019</v>
      </c>
      <c r="B32" s="11">
        <v>130414</v>
      </c>
      <c r="C32" s="8">
        <v>130414</v>
      </c>
    </row>
    <row r="33" spans="1:3" x14ac:dyDescent="0.2">
      <c r="A33" s="5">
        <v>46020</v>
      </c>
      <c r="B33" s="11">
        <v>144820</v>
      </c>
      <c r="C33" s="8">
        <v>144820</v>
      </c>
    </row>
    <row r="34" spans="1:3" x14ac:dyDescent="0.2">
      <c r="A34" s="5">
        <v>46021</v>
      </c>
      <c r="B34" s="11">
        <v>128497</v>
      </c>
      <c r="C34" s="8">
        <v>128497</v>
      </c>
    </row>
    <row r="35" spans="1:3" x14ac:dyDescent="0.2">
      <c r="A35" s="5">
        <v>46022</v>
      </c>
      <c r="B35" s="11">
        <v>103497</v>
      </c>
      <c r="C35" s="8">
        <v>103497</v>
      </c>
    </row>
    <row r="36" spans="1:3" x14ac:dyDescent="0.2">
      <c r="A36" s="5">
        <v>46023</v>
      </c>
      <c r="B36" s="11">
        <v>115365</v>
      </c>
      <c r="C36" s="8">
        <v>115365</v>
      </c>
    </row>
    <row r="37" spans="1:3" x14ac:dyDescent="0.2">
      <c r="A37" s="5">
        <v>46024</v>
      </c>
      <c r="B37" s="11">
        <v>112470</v>
      </c>
      <c r="C37" s="8">
        <v>112470</v>
      </c>
    </row>
    <row r="38" spans="1:3" x14ac:dyDescent="0.2">
      <c r="A38" s="5">
        <v>46025</v>
      </c>
      <c r="B38" s="11">
        <v>87273</v>
      </c>
      <c r="C38" s="8">
        <v>87273</v>
      </c>
    </row>
    <row r="39" spans="1:3" x14ac:dyDescent="0.2">
      <c r="A39" s="5">
        <v>46026</v>
      </c>
      <c r="B39" s="11">
        <v>91899</v>
      </c>
      <c r="C39" s="8">
        <v>91899</v>
      </c>
    </row>
    <row r="40" spans="1:3" x14ac:dyDescent="0.2">
      <c r="A40" s="5">
        <v>46027</v>
      </c>
      <c r="B40" s="11">
        <v>127081</v>
      </c>
      <c r="C40" s="8">
        <v>127081</v>
      </c>
    </row>
    <row r="41" spans="1:3" x14ac:dyDescent="0.2">
      <c r="A41" s="5">
        <v>46028</v>
      </c>
      <c r="B41" s="11">
        <v>118923</v>
      </c>
      <c r="C41" s="8">
        <v>118923</v>
      </c>
    </row>
    <row r="42" spans="1:3" x14ac:dyDescent="0.2">
      <c r="A42" s="5">
        <v>46029</v>
      </c>
      <c r="B42" s="11">
        <v>146196</v>
      </c>
      <c r="C42" s="8">
        <v>146196</v>
      </c>
    </row>
    <row r="43" spans="1:3" x14ac:dyDescent="0.2">
      <c r="A43" s="5">
        <v>46030</v>
      </c>
      <c r="B43" s="11">
        <v>131943</v>
      </c>
      <c r="C43" s="8">
        <v>131943</v>
      </c>
    </row>
    <row r="44" spans="1:3" x14ac:dyDescent="0.2">
      <c r="A44" s="5">
        <v>46031</v>
      </c>
      <c r="B44" s="11">
        <v>87911</v>
      </c>
      <c r="C44" s="8">
        <v>87911</v>
      </c>
    </row>
    <row r="45" spans="1:3" x14ac:dyDescent="0.2">
      <c r="A45" s="5">
        <v>46032</v>
      </c>
      <c r="B45" s="11">
        <v>129350</v>
      </c>
      <c r="C45" s="8">
        <v>129350</v>
      </c>
    </row>
    <row r="46" spans="1:3" x14ac:dyDescent="0.2">
      <c r="A46" s="5">
        <v>46033</v>
      </c>
      <c r="B46" s="11">
        <v>87163</v>
      </c>
      <c r="C46" s="8">
        <v>87163</v>
      </c>
    </row>
    <row r="47" spans="1:3" x14ac:dyDescent="0.2">
      <c r="A47" s="5">
        <v>46034</v>
      </c>
      <c r="B47" s="11">
        <v>72633</v>
      </c>
      <c r="C47" s="8">
        <v>72633</v>
      </c>
    </row>
    <row r="48" spans="1:3" x14ac:dyDescent="0.2">
      <c r="A48" s="5">
        <v>46035</v>
      </c>
      <c r="B48" s="11">
        <v>95455</v>
      </c>
      <c r="C48" s="8">
        <v>95455</v>
      </c>
    </row>
    <row r="49" spans="1:3" x14ac:dyDescent="0.2">
      <c r="A49" s="5">
        <v>46036</v>
      </c>
      <c r="B49" s="11">
        <v>117061</v>
      </c>
      <c r="C49" s="8">
        <v>117061</v>
      </c>
    </row>
    <row r="50" spans="1:3" x14ac:dyDescent="0.2">
      <c r="A50" s="5">
        <v>46037</v>
      </c>
      <c r="B50" s="11">
        <v>77079</v>
      </c>
      <c r="C50" s="8">
        <v>77079</v>
      </c>
    </row>
    <row r="51" spans="1:3" x14ac:dyDescent="0.2">
      <c r="A51" s="5">
        <v>46038</v>
      </c>
      <c r="B51" s="11">
        <v>82669</v>
      </c>
      <c r="C51" s="8">
        <v>82669</v>
      </c>
    </row>
    <row r="52" spans="1:3" x14ac:dyDescent="0.2">
      <c r="A52" s="5">
        <v>46039</v>
      </c>
      <c r="B52" s="11">
        <v>74776</v>
      </c>
      <c r="C52" s="8">
        <v>74776</v>
      </c>
    </row>
    <row r="53" spans="1:3" x14ac:dyDescent="0.2">
      <c r="A53" s="5">
        <v>46040</v>
      </c>
      <c r="B53" s="11">
        <v>90533</v>
      </c>
      <c r="C53" s="8">
        <v>90533</v>
      </c>
    </row>
    <row r="54" spans="1:3" x14ac:dyDescent="0.2">
      <c r="A54" s="5">
        <v>46041</v>
      </c>
      <c r="B54" s="11">
        <v>64761</v>
      </c>
      <c r="C54" s="8">
        <v>64761</v>
      </c>
    </row>
    <row r="55" spans="1:3" x14ac:dyDescent="0.2">
      <c r="A55" s="5">
        <v>46042</v>
      </c>
      <c r="B55" s="11">
        <v>70712</v>
      </c>
      <c r="C55" s="8">
        <v>70712</v>
      </c>
    </row>
    <row r="56" spans="1:3" x14ac:dyDescent="0.2">
      <c r="A56" s="5">
        <v>46043</v>
      </c>
      <c r="B56" s="11">
        <v>91045</v>
      </c>
      <c r="C56" s="8">
        <v>91045</v>
      </c>
    </row>
    <row r="57" spans="1:3" x14ac:dyDescent="0.2">
      <c r="A57" s="5">
        <v>46044</v>
      </c>
      <c r="B57" s="11">
        <v>122687</v>
      </c>
      <c r="C57" s="8">
        <v>122687</v>
      </c>
    </row>
    <row r="58" spans="1:3" x14ac:dyDescent="0.2">
      <c r="A58" s="5">
        <v>46045</v>
      </c>
      <c r="B58" s="11">
        <v>55661</v>
      </c>
      <c r="C58" s="8">
        <v>55661</v>
      </c>
    </row>
    <row r="59" spans="1:3" x14ac:dyDescent="0.2">
      <c r="A59" s="5">
        <v>46046</v>
      </c>
      <c r="B59" s="11">
        <v>69876</v>
      </c>
      <c r="C59" s="8">
        <v>69876</v>
      </c>
    </row>
    <row r="60" spans="1:3" x14ac:dyDescent="0.2">
      <c r="A60" s="5">
        <v>46047</v>
      </c>
      <c r="B60" s="11">
        <v>51679</v>
      </c>
      <c r="C60" s="8">
        <v>51679</v>
      </c>
    </row>
    <row r="61" spans="1:3" x14ac:dyDescent="0.2">
      <c r="A61" s="5">
        <v>46048</v>
      </c>
      <c r="B61" s="11">
        <v>49703</v>
      </c>
      <c r="C61" s="8">
        <v>49703</v>
      </c>
    </row>
    <row r="62" spans="1:3" x14ac:dyDescent="0.2">
      <c r="A62" s="5">
        <v>46049</v>
      </c>
      <c r="B62" s="11">
        <v>40681</v>
      </c>
      <c r="C62" s="8">
        <v>40681</v>
      </c>
    </row>
    <row r="63" spans="1:3" x14ac:dyDescent="0.2">
      <c r="A63" s="5">
        <v>46050</v>
      </c>
      <c r="B63" s="11">
        <v>94663</v>
      </c>
      <c r="C63" s="8">
        <v>94663</v>
      </c>
    </row>
    <row r="64" spans="1:3" x14ac:dyDescent="0.2">
      <c r="A64" s="5">
        <v>46051</v>
      </c>
      <c r="B64" s="11">
        <v>48741</v>
      </c>
      <c r="C64" s="8">
        <v>48741</v>
      </c>
    </row>
    <row r="65" spans="1:3" x14ac:dyDescent="0.2">
      <c r="A65" s="5">
        <v>46052</v>
      </c>
      <c r="B65" s="11">
        <v>27903</v>
      </c>
      <c r="C65" s="8">
        <v>27903</v>
      </c>
    </row>
    <row r="66" spans="1:3" x14ac:dyDescent="0.2">
      <c r="A66" s="5">
        <v>46053</v>
      </c>
      <c r="B66" s="11">
        <v>70805</v>
      </c>
      <c r="C66" s="8">
        <v>70805</v>
      </c>
    </row>
    <row r="67" spans="1:3" x14ac:dyDescent="0.2">
      <c r="A67" s="5">
        <v>46054</v>
      </c>
      <c r="B67" s="11">
        <v>42561</v>
      </c>
      <c r="C67" s="8">
        <v>42561</v>
      </c>
    </row>
    <row r="68" spans="1:3" x14ac:dyDescent="0.2">
      <c r="A68" s="5">
        <v>46055</v>
      </c>
      <c r="B68" s="11">
        <v>34732</v>
      </c>
      <c r="C68" s="8">
        <v>34732</v>
      </c>
    </row>
    <row r="69" spans="1:3" x14ac:dyDescent="0.2">
      <c r="A69" s="5">
        <v>46056</v>
      </c>
      <c r="B69" s="11">
        <v>101341</v>
      </c>
      <c r="C69" s="8">
        <v>101341</v>
      </c>
    </row>
    <row r="70" spans="1:3" x14ac:dyDescent="0.2">
      <c r="A70" s="5">
        <v>46057</v>
      </c>
      <c r="B70" s="11">
        <v>50960</v>
      </c>
      <c r="C70" s="8">
        <v>50960</v>
      </c>
    </row>
    <row r="71" spans="1:3" x14ac:dyDescent="0.2">
      <c r="A71" s="5">
        <v>46058</v>
      </c>
      <c r="B71" s="11">
        <v>67043</v>
      </c>
      <c r="C71" s="8">
        <v>67043</v>
      </c>
    </row>
    <row r="72" spans="1:3" x14ac:dyDescent="0.2">
      <c r="A72" s="5">
        <v>46059</v>
      </c>
      <c r="B72" s="11">
        <v>74932</v>
      </c>
      <c r="C72" s="8">
        <v>74932</v>
      </c>
    </row>
    <row r="73" spans="1:3" x14ac:dyDescent="0.2">
      <c r="A73" s="5">
        <v>46060</v>
      </c>
      <c r="B73" s="11">
        <v>36460</v>
      </c>
      <c r="C73" s="8">
        <v>36460</v>
      </c>
    </row>
    <row r="74" spans="1:3" x14ac:dyDescent="0.2">
      <c r="A74" s="5">
        <v>46061</v>
      </c>
      <c r="B74" s="11">
        <v>12204</v>
      </c>
      <c r="C74" s="8">
        <v>12204</v>
      </c>
    </row>
    <row r="75" spans="1:3" x14ac:dyDescent="0.2">
      <c r="A75" s="5">
        <v>46062</v>
      </c>
      <c r="B75" s="11">
        <v>10186</v>
      </c>
      <c r="C75" s="8">
        <v>10186</v>
      </c>
    </row>
    <row r="76" spans="1:3" x14ac:dyDescent="0.2">
      <c r="A76" s="5">
        <v>46063</v>
      </c>
      <c r="B76" s="11">
        <v>21000</v>
      </c>
      <c r="C76" s="8">
        <v>21000</v>
      </c>
    </row>
    <row r="77" spans="1:3" x14ac:dyDescent="0.2">
      <c r="A77" s="5">
        <v>46064</v>
      </c>
      <c r="B77" s="11">
        <v>50204</v>
      </c>
      <c r="C77" s="8">
        <v>50204</v>
      </c>
    </row>
    <row r="78" spans="1:3" x14ac:dyDescent="0.2">
      <c r="A78" s="5">
        <v>46065</v>
      </c>
      <c r="B78" s="11">
        <v>19383</v>
      </c>
      <c r="C78" s="8">
        <v>19383</v>
      </c>
    </row>
    <row r="79" spans="1:3" x14ac:dyDescent="0.2">
      <c r="A79" s="5">
        <v>46066</v>
      </c>
      <c r="B79" s="11">
        <v>15880</v>
      </c>
      <c r="C79" s="8">
        <v>15880</v>
      </c>
    </row>
    <row r="80" spans="1:3" x14ac:dyDescent="0.2">
      <c r="A80" s="5">
        <v>46067</v>
      </c>
      <c r="B80" s="11">
        <v>49916</v>
      </c>
      <c r="C80" s="8">
        <v>49916</v>
      </c>
    </row>
    <row r="81" spans="1:3" x14ac:dyDescent="0.2">
      <c r="A81" s="5">
        <v>46068</v>
      </c>
      <c r="B81" s="11">
        <v>18125</v>
      </c>
      <c r="C81" s="8">
        <v>18125</v>
      </c>
    </row>
    <row r="82" spans="1:3" x14ac:dyDescent="0.2">
      <c r="A82" s="5">
        <v>46069</v>
      </c>
      <c r="B82" s="11">
        <v>2448</v>
      </c>
      <c r="C82" s="8">
        <v>2448</v>
      </c>
    </row>
    <row r="83" spans="1:3" x14ac:dyDescent="0.2">
      <c r="A83" s="5">
        <v>46070</v>
      </c>
      <c r="B83" s="11">
        <v>32959</v>
      </c>
      <c r="C83" s="8">
        <v>32959</v>
      </c>
    </row>
    <row r="84" spans="1:3" x14ac:dyDescent="0.2">
      <c r="A84" s="5">
        <v>46071</v>
      </c>
      <c r="B84" s="11">
        <v>6177</v>
      </c>
      <c r="C84" s="8">
        <v>6177</v>
      </c>
    </row>
    <row r="85" spans="1:3" x14ac:dyDescent="0.2">
      <c r="A85" s="5">
        <v>46072</v>
      </c>
      <c r="B85" s="11">
        <v>17316</v>
      </c>
      <c r="C85" s="8">
        <v>17316</v>
      </c>
    </row>
    <row r="86" spans="1:3" x14ac:dyDescent="0.2">
      <c r="A86" s="5">
        <v>46073</v>
      </c>
      <c r="B86" s="11">
        <v>2976</v>
      </c>
      <c r="C86" s="8">
        <v>2976</v>
      </c>
    </row>
    <row r="87" spans="1:3" x14ac:dyDescent="0.2">
      <c r="A87" s="5">
        <v>46074</v>
      </c>
      <c r="B87" s="11">
        <v>26099</v>
      </c>
      <c r="C87" s="8">
        <v>26099</v>
      </c>
    </row>
    <row r="88" spans="1:3" x14ac:dyDescent="0.2">
      <c r="A88" s="5">
        <v>46075</v>
      </c>
      <c r="B88" s="11">
        <v>17702</v>
      </c>
      <c r="C88" s="8">
        <v>17702</v>
      </c>
    </row>
    <row r="89" spans="1:3" x14ac:dyDescent="0.2">
      <c r="A89" s="5">
        <v>46076</v>
      </c>
      <c r="B89" s="11">
        <v>30698</v>
      </c>
      <c r="C89" s="8">
        <v>30698</v>
      </c>
    </row>
    <row r="90" spans="1:3" x14ac:dyDescent="0.2">
      <c r="A90" s="5">
        <v>46077</v>
      </c>
      <c r="B90" s="11">
        <v>8495</v>
      </c>
      <c r="C90" s="8">
        <v>8495</v>
      </c>
    </row>
    <row r="91" spans="1:3" x14ac:dyDescent="0.2">
      <c r="A91" s="5">
        <v>46078</v>
      </c>
      <c r="B91" s="11">
        <v>3285</v>
      </c>
      <c r="C91" s="8">
        <v>3285</v>
      </c>
    </row>
    <row r="92" spans="1:3" x14ac:dyDescent="0.2">
      <c r="A92" s="5">
        <v>46079</v>
      </c>
      <c r="B92" s="11">
        <v>15993</v>
      </c>
      <c r="C92" s="8">
        <v>15993</v>
      </c>
    </row>
    <row r="93" spans="1:3" x14ac:dyDescent="0.2">
      <c r="A93" s="5">
        <v>46080</v>
      </c>
      <c r="B93" s="11">
        <v>4513</v>
      </c>
      <c r="C93" s="8">
        <v>4513</v>
      </c>
    </row>
    <row r="94" spans="1:3" x14ac:dyDescent="0.2">
      <c r="A94" s="5">
        <v>46081</v>
      </c>
      <c r="B94" s="11">
        <v>38031</v>
      </c>
      <c r="C94" s="8">
        <v>38031</v>
      </c>
    </row>
    <row r="95" spans="1:3" x14ac:dyDescent="0.2">
      <c r="A95" s="5">
        <v>46082</v>
      </c>
      <c r="B95" s="11">
        <v>34463</v>
      </c>
      <c r="C95" s="8">
        <v>34463</v>
      </c>
    </row>
    <row r="96" spans="1:3" x14ac:dyDescent="0.2">
      <c r="A96" s="1">
        <v>46083</v>
      </c>
      <c r="B96" s="12">
        <v>1936</v>
      </c>
      <c r="C96" s="3">
        <v>1936</v>
      </c>
    </row>
    <row r="97" spans="1:3" x14ac:dyDescent="0.2">
      <c r="A97" s="1">
        <v>46084</v>
      </c>
      <c r="B97" s="12">
        <v>7014</v>
      </c>
      <c r="C97" s="3">
        <v>7014</v>
      </c>
    </row>
    <row r="98" spans="1:3" x14ac:dyDescent="0.2">
      <c r="A98" s="1">
        <v>46085</v>
      </c>
      <c r="B98" s="12">
        <v>38238</v>
      </c>
      <c r="C98" s="3">
        <v>38238</v>
      </c>
    </row>
    <row r="99" spans="1:3" x14ac:dyDescent="0.2">
      <c r="A99" s="1">
        <v>46086</v>
      </c>
      <c r="B99" s="12">
        <v>30204</v>
      </c>
      <c r="C99" s="3">
        <v>30204</v>
      </c>
    </row>
    <row r="100" spans="1:3" x14ac:dyDescent="0.2">
      <c r="A100" s="1">
        <v>46087</v>
      </c>
      <c r="B100" s="12">
        <v>9135</v>
      </c>
      <c r="C100" s="3">
        <v>9135</v>
      </c>
    </row>
    <row r="101" spans="1:3" x14ac:dyDescent="0.2">
      <c r="A101" s="1">
        <v>46088</v>
      </c>
      <c r="B101" s="12">
        <v>53306</v>
      </c>
      <c r="C101" s="3">
        <v>53306</v>
      </c>
    </row>
    <row r="102" spans="1:3" x14ac:dyDescent="0.2">
      <c r="A102" s="1">
        <v>46089</v>
      </c>
      <c r="B102" s="12">
        <v>10527</v>
      </c>
      <c r="C102" s="3">
        <v>10527</v>
      </c>
    </row>
    <row r="103" spans="1:3" x14ac:dyDescent="0.2">
      <c r="A103" s="1">
        <v>46090</v>
      </c>
      <c r="B103" s="12">
        <v>3035</v>
      </c>
      <c r="C103" s="3">
        <v>3035</v>
      </c>
    </row>
    <row r="104" spans="1:3" x14ac:dyDescent="0.2">
      <c r="A104" s="1">
        <v>46091</v>
      </c>
      <c r="B104" s="12">
        <v>4325</v>
      </c>
      <c r="C104" s="3">
        <v>4325</v>
      </c>
    </row>
    <row r="105" spans="1:3" x14ac:dyDescent="0.2">
      <c r="A105" s="1">
        <v>46092</v>
      </c>
      <c r="B105" s="12">
        <v>28858</v>
      </c>
      <c r="C105" s="3">
        <v>28858</v>
      </c>
    </row>
    <row r="106" spans="1:3" x14ac:dyDescent="0.2">
      <c r="A106" s="1">
        <v>46093</v>
      </c>
      <c r="B106" s="12">
        <v>3149</v>
      </c>
      <c r="C106" s="3">
        <v>3149</v>
      </c>
    </row>
    <row r="107" spans="1:3" x14ac:dyDescent="0.2">
      <c r="A107" s="1">
        <v>46094</v>
      </c>
      <c r="B107" s="12">
        <v>9932</v>
      </c>
      <c r="C107" s="3">
        <v>9932</v>
      </c>
    </row>
    <row r="108" spans="1:3" x14ac:dyDescent="0.2">
      <c r="A108" s="1">
        <v>46095</v>
      </c>
      <c r="B108" s="12">
        <v>5596</v>
      </c>
      <c r="C108" s="3">
        <v>5596</v>
      </c>
    </row>
    <row r="109" spans="1:3" x14ac:dyDescent="0.2">
      <c r="A109" s="1">
        <v>46096</v>
      </c>
      <c r="B109" s="12">
        <v>4241</v>
      </c>
      <c r="C109" s="3">
        <v>4241</v>
      </c>
    </row>
    <row r="110" spans="1:3" x14ac:dyDescent="0.2">
      <c r="A110" s="1">
        <v>46097</v>
      </c>
      <c r="B110" s="12">
        <v>4599</v>
      </c>
      <c r="C110" s="3">
        <v>4599</v>
      </c>
    </row>
    <row r="111" spans="1:3" x14ac:dyDescent="0.2">
      <c r="A111" s="1">
        <v>46098</v>
      </c>
      <c r="B111" s="12">
        <v>3752</v>
      </c>
      <c r="C111" s="3">
        <v>3752</v>
      </c>
    </row>
    <row r="112" spans="1:3" x14ac:dyDescent="0.2">
      <c r="A112" s="1">
        <v>46099</v>
      </c>
      <c r="B112" s="12">
        <v>21412</v>
      </c>
      <c r="C112" s="3">
        <v>21412</v>
      </c>
    </row>
    <row r="113" spans="1:3" x14ac:dyDescent="0.2">
      <c r="A113" s="1">
        <v>46100</v>
      </c>
      <c r="B113" s="12">
        <v>14166</v>
      </c>
      <c r="C113" s="3">
        <v>14166</v>
      </c>
    </row>
    <row r="114" spans="1:3" x14ac:dyDescent="0.2">
      <c r="A114" s="1">
        <v>46101</v>
      </c>
      <c r="B114" s="12">
        <v>7818</v>
      </c>
      <c r="C114" s="3">
        <v>7818</v>
      </c>
    </row>
    <row r="115" spans="1:3" x14ac:dyDescent="0.2">
      <c r="A115" s="1">
        <v>46102</v>
      </c>
      <c r="B115" s="12">
        <v>4135</v>
      </c>
      <c r="C115" s="3">
        <v>4135</v>
      </c>
    </row>
    <row r="116" spans="1:3" x14ac:dyDescent="0.2">
      <c r="A116" s="1">
        <v>46103</v>
      </c>
      <c r="B116" s="12">
        <v>2868</v>
      </c>
      <c r="C116" s="3">
        <v>2868</v>
      </c>
    </row>
    <row r="117" spans="1:3" x14ac:dyDescent="0.2">
      <c r="A117" s="1">
        <v>46104</v>
      </c>
      <c r="B117" s="12">
        <v>12377</v>
      </c>
      <c r="C117" s="3">
        <v>12377</v>
      </c>
    </row>
    <row r="118" spans="1:3" x14ac:dyDescent="0.2">
      <c r="A118" s="1">
        <v>46105</v>
      </c>
      <c r="B118" s="12">
        <v>5396</v>
      </c>
      <c r="C118" s="3">
        <v>5396</v>
      </c>
    </row>
    <row r="119" spans="1:3" x14ac:dyDescent="0.2">
      <c r="A119" s="1">
        <v>46106</v>
      </c>
      <c r="B119" s="12">
        <v>7096</v>
      </c>
      <c r="C119" s="3">
        <v>7096</v>
      </c>
    </row>
    <row r="120" spans="1:3" x14ac:dyDescent="0.2">
      <c r="A120" s="1">
        <v>46107</v>
      </c>
      <c r="B120" s="12">
        <v>8392</v>
      </c>
      <c r="C120" s="3">
        <v>8392</v>
      </c>
    </row>
    <row r="121" spans="1:3" x14ac:dyDescent="0.2">
      <c r="A121" s="1">
        <v>46108</v>
      </c>
      <c r="B121" s="12">
        <v>7505</v>
      </c>
      <c r="C121" s="3">
        <v>7505</v>
      </c>
    </row>
    <row r="122" spans="1:3" x14ac:dyDescent="0.2">
      <c r="A122" s="1">
        <v>46109</v>
      </c>
      <c r="B122" s="12">
        <v>16607</v>
      </c>
      <c r="C122" s="3">
        <v>16607</v>
      </c>
    </row>
    <row r="123" spans="1:3" x14ac:dyDescent="0.2">
      <c r="A123" s="1">
        <v>46110</v>
      </c>
      <c r="B123" s="12">
        <v>3726</v>
      </c>
      <c r="C123" s="3">
        <v>3726</v>
      </c>
    </row>
    <row r="124" spans="1:3" x14ac:dyDescent="0.2">
      <c r="A124" s="1">
        <v>46111</v>
      </c>
      <c r="B124" s="12">
        <v>4165</v>
      </c>
      <c r="C124" s="3">
        <v>4165</v>
      </c>
    </row>
  </sheetData>
  <mergeCells count="1">
    <mergeCell ref="F1:H1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24"/>
  <sheetViews>
    <sheetView workbookViewId="0">
      <selection activeCell="F14" sqref="F14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10" x14ac:dyDescent="0.2">
      <c r="A1" s="5" t="s">
        <v>37</v>
      </c>
      <c r="B1" s="9" t="s">
        <v>42</v>
      </c>
      <c r="C1" s="3" t="s">
        <v>42</v>
      </c>
      <c r="D1" s="8" t="s">
        <v>41</v>
      </c>
      <c r="E1" s="6"/>
      <c r="H1" s="16" t="s">
        <v>125</v>
      </c>
      <c r="I1" s="16"/>
      <c r="J1" s="16"/>
    </row>
    <row r="2" spans="1:10" x14ac:dyDescent="0.2">
      <c r="A2" s="5">
        <v>45989</v>
      </c>
      <c r="B2" s="9">
        <f>ROUNDUP(C2, 0)</f>
        <v>23</v>
      </c>
      <c r="C2" s="3">
        <v>22.092099999999999</v>
      </c>
      <c r="D2" s="8">
        <v>1326</v>
      </c>
      <c r="E2" s="6"/>
      <c r="F2" s="9"/>
      <c r="G2" t="s">
        <v>118</v>
      </c>
      <c r="H2" t="s">
        <v>43</v>
      </c>
      <c r="I2" t="s">
        <v>44</v>
      </c>
      <c r="J2" t="s">
        <v>117</v>
      </c>
    </row>
    <row r="3" spans="1:10" x14ac:dyDescent="0.2">
      <c r="A3" s="5">
        <v>45990</v>
      </c>
      <c r="B3" s="9">
        <f>ROUNDUP(C3, 0)</f>
        <v>16</v>
      </c>
      <c r="C3" s="3">
        <v>15.119199999999999</v>
      </c>
      <c r="D3" s="8">
        <v>907</v>
      </c>
      <c r="E3" s="6"/>
      <c r="G3" t="s">
        <v>125</v>
      </c>
      <c r="H3" s="9">
        <f>AVERAGE(C35:C65)</f>
        <v>86.739064516128991</v>
      </c>
      <c r="I3" s="9">
        <f>AVERAGE(B67:B94)</f>
        <v>31.964285714285715</v>
      </c>
      <c r="J3" s="9">
        <f>AVERAGE(B95:B124)</f>
        <v>14.933333333333334</v>
      </c>
    </row>
    <row r="4" spans="1:10" x14ac:dyDescent="0.2">
      <c r="A4" s="5">
        <v>45991</v>
      </c>
      <c r="B4" s="9">
        <f>ROUNDUP(C4, 0)</f>
        <v>20</v>
      </c>
      <c r="C4" s="3">
        <v>19.8142</v>
      </c>
      <c r="D4" s="8">
        <v>1188</v>
      </c>
      <c r="E4" s="6"/>
    </row>
    <row r="5" spans="1:10" x14ac:dyDescent="0.2">
      <c r="A5" s="5">
        <v>45992</v>
      </c>
      <c r="B5" s="9">
        <f t="shared" ref="B5:B67" si="0">ROUNDUP(C5, 0)</f>
        <v>63</v>
      </c>
      <c r="C5" s="3">
        <v>62.1937</v>
      </c>
      <c r="D5" s="8">
        <v>3731</v>
      </c>
      <c r="E5" s="6"/>
      <c r="F5" t="s">
        <v>126</v>
      </c>
    </row>
    <row r="6" spans="1:10" x14ac:dyDescent="0.2">
      <c r="A6" s="5">
        <v>45993</v>
      </c>
      <c r="B6" s="9">
        <f t="shared" si="0"/>
        <v>58</v>
      </c>
      <c r="C6" s="3">
        <v>57.237099999999899</v>
      </c>
      <c r="D6" s="8">
        <v>3435</v>
      </c>
      <c r="E6" s="6"/>
      <c r="F6" s="9">
        <f>SUM(C2:C124)</f>
        <v>7875.5110999999924</v>
      </c>
    </row>
    <row r="7" spans="1:10" x14ac:dyDescent="0.2">
      <c r="A7" s="5">
        <v>45994</v>
      </c>
      <c r="B7" s="9">
        <f t="shared" si="0"/>
        <v>73</v>
      </c>
      <c r="C7" s="3">
        <v>72.176400000000001</v>
      </c>
      <c r="D7" s="8">
        <v>4329</v>
      </c>
      <c r="E7" s="6"/>
      <c r="F7" s="3"/>
    </row>
    <row r="8" spans="1:10" x14ac:dyDescent="0.2">
      <c r="A8" s="5">
        <v>45995</v>
      </c>
      <c r="B8" s="9">
        <f t="shared" si="0"/>
        <v>104</v>
      </c>
      <c r="C8" s="3">
        <v>103.3441</v>
      </c>
      <c r="D8" s="8">
        <v>6201</v>
      </c>
      <c r="E8" s="6"/>
    </row>
    <row r="9" spans="1:10" x14ac:dyDescent="0.2">
      <c r="A9" s="5">
        <v>45996</v>
      </c>
      <c r="B9" s="9">
        <f t="shared" si="0"/>
        <v>151</v>
      </c>
      <c r="C9" s="3">
        <v>150.15520000000001</v>
      </c>
      <c r="D9" s="8">
        <v>9011</v>
      </c>
      <c r="E9" s="6"/>
    </row>
    <row r="10" spans="1:10" x14ac:dyDescent="0.2">
      <c r="A10" s="5">
        <v>45997</v>
      </c>
      <c r="B10" s="9">
        <f t="shared" si="0"/>
        <v>77</v>
      </c>
      <c r="C10" s="3">
        <v>76.3035</v>
      </c>
      <c r="D10" s="8">
        <v>4575</v>
      </c>
      <c r="E10" s="6"/>
    </row>
    <row r="11" spans="1:10" x14ac:dyDescent="0.2">
      <c r="A11" s="5">
        <v>45998</v>
      </c>
      <c r="B11" s="9">
        <f t="shared" si="0"/>
        <v>54</v>
      </c>
      <c r="C11" s="3">
        <v>53.886799999999901</v>
      </c>
      <c r="D11" s="8">
        <v>3234</v>
      </c>
      <c r="E11" s="6"/>
    </row>
    <row r="12" spans="1:10" x14ac:dyDescent="0.2">
      <c r="A12" s="5">
        <v>45999</v>
      </c>
      <c r="B12" s="9">
        <f t="shared" si="0"/>
        <v>72</v>
      </c>
      <c r="C12" s="3">
        <v>71.2898</v>
      </c>
      <c r="D12" s="8">
        <v>4278</v>
      </c>
      <c r="E12" s="6"/>
    </row>
    <row r="13" spans="1:10" x14ac:dyDescent="0.2">
      <c r="A13" s="5">
        <v>46000</v>
      </c>
      <c r="B13" s="9">
        <f t="shared" si="0"/>
        <v>141</v>
      </c>
      <c r="C13" s="3">
        <v>140.8578</v>
      </c>
      <c r="D13" s="8">
        <v>8453</v>
      </c>
      <c r="E13" s="6"/>
    </row>
    <row r="14" spans="1:10" x14ac:dyDescent="0.2">
      <c r="A14" s="5">
        <v>46001</v>
      </c>
      <c r="B14" s="9">
        <f t="shared" si="0"/>
        <v>127</v>
      </c>
      <c r="C14" s="3">
        <v>126.508799999999</v>
      </c>
      <c r="D14" s="8">
        <v>7594</v>
      </c>
      <c r="E14" s="6"/>
    </row>
    <row r="15" spans="1:10" x14ac:dyDescent="0.2">
      <c r="A15" s="5">
        <v>46002</v>
      </c>
      <c r="B15" s="9">
        <f t="shared" si="0"/>
        <v>114</v>
      </c>
      <c r="C15" s="3">
        <v>113.372799999999</v>
      </c>
      <c r="D15" s="8">
        <v>6802</v>
      </c>
      <c r="E15" s="6"/>
    </row>
    <row r="16" spans="1:10" x14ac:dyDescent="0.2">
      <c r="A16" s="5">
        <v>46003</v>
      </c>
      <c r="B16" s="9">
        <f t="shared" si="0"/>
        <v>183</v>
      </c>
      <c r="C16" s="3">
        <v>182.87780000000001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182.61089999999999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109.337199999999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143.18169999999901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140.89709999999999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173.5873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155.47259999999901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150.10239999999899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161.82650000000001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97.768500000000003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155.7183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164.42329999999899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104.7624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128.89439999999999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130.7637</v>
      </c>
      <c r="D30" s="8">
        <v>7845</v>
      </c>
      <c r="E30" s="6"/>
      <c r="M30" s="13"/>
    </row>
    <row r="31" spans="1:13" x14ac:dyDescent="0.2">
      <c r="A31" s="5">
        <v>46018</v>
      </c>
      <c r="B31" s="9">
        <f t="shared" si="0"/>
        <v>93</v>
      </c>
      <c r="C31" s="3">
        <v>92.820099999999996</v>
      </c>
      <c r="D31" s="8">
        <v>5571</v>
      </c>
      <c r="E31" s="6"/>
      <c r="M31" s="13"/>
    </row>
    <row r="32" spans="1:13" x14ac:dyDescent="0.2">
      <c r="A32" s="5">
        <v>46019</v>
      </c>
      <c r="B32" s="9">
        <f t="shared" si="0"/>
        <v>144</v>
      </c>
      <c r="C32" s="3">
        <v>143.98849999999999</v>
      </c>
      <c r="D32" s="8">
        <v>8638</v>
      </c>
      <c r="E32" s="6"/>
      <c r="M32" s="13"/>
    </row>
    <row r="33" spans="1:13" x14ac:dyDescent="0.2">
      <c r="A33" s="5">
        <v>46020</v>
      </c>
      <c r="B33" s="9">
        <f t="shared" si="0"/>
        <v>138</v>
      </c>
      <c r="C33" s="3">
        <v>137.218299999999</v>
      </c>
      <c r="D33" s="8">
        <v>8234</v>
      </c>
      <c r="E33" s="6"/>
      <c r="M33" s="13"/>
    </row>
    <row r="34" spans="1:13" x14ac:dyDescent="0.2">
      <c r="A34" s="5">
        <v>46021</v>
      </c>
      <c r="B34" s="9">
        <f t="shared" si="0"/>
        <v>132</v>
      </c>
      <c r="C34" s="3">
        <v>131.336199999999</v>
      </c>
      <c r="D34" s="8">
        <v>7879</v>
      </c>
      <c r="E34" s="6"/>
      <c r="M34" s="13"/>
    </row>
    <row r="35" spans="1:13" x14ac:dyDescent="0.2">
      <c r="A35" s="5">
        <v>46022</v>
      </c>
      <c r="B35" s="9">
        <f t="shared" si="0"/>
        <v>109</v>
      </c>
      <c r="C35" s="3">
        <v>108.71850000000001</v>
      </c>
      <c r="D35" s="8">
        <v>6524</v>
      </c>
      <c r="E35" s="6"/>
      <c r="M35" s="13"/>
    </row>
    <row r="36" spans="1:13" x14ac:dyDescent="0.2">
      <c r="A36" s="5">
        <v>46023</v>
      </c>
      <c r="B36" s="9">
        <f t="shared" si="0"/>
        <v>106</v>
      </c>
      <c r="C36" s="3">
        <v>105.8099</v>
      </c>
      <c r="D36" s="8">
        <v>6350</v>
      </c>
      <c r="E36" s="6"/>
      <c r="M36" s="14"/>
    </row>
    <row r="37" spans="1:13" x14ac:dyDescent="0.2">
      <c r="A37" s="5">
        <v>46024</v>
      </c>
      <c r="B37" s="9">
        <f t="shared" si="0"/>
        <v>151</v>
      </c>
      <c r="C37" s="3">
        <v>150.00550000000001</v>
      </c>
      <c r="D37" s="8">
        <v>9001</v>
      </c>
      <c r="E37" s="6"/>
      <c r="M37" s="13"/>
    </row>
    <row r="38" spans="1:13" x14ac:dyDescent="0.2">
      <c r="A38" s="5">
        <v>46025</v>
      </c>
      <c r="B38" s="9">
        <f t="shared" si="0"/>
        <v>76</v>
      </c>
      <c r="C38" s="3">
        <v>75.280599999999893</v>
      </c>
      <c r="D38" s="8">
        <v>4515</v>
      </c>
      <c r="E38" s="6"/>
      <c r="M38" s="14"/>
    </row>
    <row r="39" spans="1:13" x14ac:dyDescent="0.2">
      <c r="A39" s="5">
        <v>46026</v>
      </c>
      <c r="B39" s="9">
        <f t="shared" si="0"/>
        <v>90</v>
      </c>
      <c r="C39" s="3">
        <v>89.936799999999906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120.0656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109.74379999999999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148.58769999999899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147.83600000000001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121.65179999999999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115.4661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73.106499999999997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72.736199999999897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82.632099999999994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116.2405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75.569400000000002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74.689899999999994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63.148000000000003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75.619500000000002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88.530199999999994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59.229300000000002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86.1768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114.0307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56.0334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59.493699999999997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78.174499999999995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39.068499999999901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38.460099999999997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78.484699999999904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40.751399999999897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23.633299999999998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102.337499999999</v>
      </c>
      <c r="D66" s="8">
        <v>6139</v>
      </c>
      <c r="E66" s="6"/>
    </row>
    <row r="67" spans="1:5" x14ac:dyDescent="0.2">
      <c r="A67" s="5">
        <v>46054</v>
      </c>
      <c r="B67" s="9">
        <f t="shared" si="0"/>
        <v>36</v>
      </c>
      <c r="C67" s="3">
        <v>35.338299999999997</v>
      </c>
      <c r="D67" s="8">
        <v>2119</v>
      </c>
      <c r="E67" s="6"/>
    </row>
    <row r="68" spans="1:5" x14ac:dyDescent="0.2">
      <c r="A68" s="5">
        <v>46055</v>
      </c>
      <c r="B68" s="9">
        <f t="shared" ref="B68:B124" si="1">ROUNDUP(C68, 0)</f>
        <v>86</v>
      </c>
      <c r="C68" s="3">
        <v>85.838999999999999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89.372600000000006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59.313999999999901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85.885099999999994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77.071200000000005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39.328299999999999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16.212799999999898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10.7166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17.838200000000001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45.703199999999903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25.699200000000001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15.092799999999899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40.488100000000003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14.425799999999899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2.9529999999999998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29.258999999999901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4.4523999999999999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18.586200000000002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3.1151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31.797599999999999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16.2242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35.637799999999899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6.7108999999999996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3.0407999999999999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16.503799999999998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3.2988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50.044199999999996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44.579799999999999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1.3923000000000001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6.5819999999999999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79.885400000000004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31.671900000000001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10.263999999999999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64.005799999999994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12.5575999999999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3.3315999999999999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7.2776999999999896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25.246699999999901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3.1345999999999998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9.0386999999999897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4.1421999999999999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2.9584999999999999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2.8536999999999999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19.3887999999999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15.337399999999899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5.9333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3.0655999999999999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3.6802999999999999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12.242000000000001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2.9768999999999899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13.650399999999999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8.0946999999999996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7.3889999999999896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21.929600000000001</v>
      </c>
      <c r="D122" s="3">
        <v>1316</v>
      </c>
    </row>
    <row r="123" spans="1:4" x14ac:dyDescent="0.2">
      <c r="A123" s="1">
        <v>46110</v>
      </c>
      <c r="B123" s="9">
        <f>ROUNDUP(C123, 0)</f>
        <v>3</v>
      </c>
      <c r="C123" s="3">
        <v>2.8683000000000001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3.5411000000000001</v>
      </c>
      <c r="D124" s="3">
        <v>212</v>
      </c>
    </row>
  </sheetData>
  <mergeCells count="1">
    <mergeCell ref="H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tabSelected="1" topLeftCell="A3" zoomScale="141" workbookViewId="0">
      <selection activeCell="E15" sqref="E15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515</v>
      </c>
      <c r="E13" s="13"/>
    </row>
    <row r="14" spans="1:5" x14ac:dyDescent="0.2">
      <c r="A14" t="s">
        <v>25</v>
      </c>
      <c r="B14">
        <v>526</v>
      </c>
      <c r="E14" s="14"/>
    </row>
    <row r="15" spans="1:5" x14ac:dyDescent="0.2">
      <c r="A15" t="s">
        <v>26</v>
      </c>
      <c r="B15">
        <v>712</v>
      </c>
    </row>
    <row r="16" spans="1:5" x14ac:dyDescent="0.2">
      <c r="A16" t="s">
        <v>24</v>
      </c>
      <c r="B16">
        <v>924</v>
      </c>
      <c r="E16" s="13"/>
    </row>
    <row r="17" spans="1:5" x14ac:dyDescent="0.2">
      <c r="A17" t="s">
        <v>22</v>
      </c>
      <c r="B17">
        <v>1556</v>
      </c>
      <c r="E17" s="14"/>
    </row>
    <row r="41" spans="8:8" ht="409.6" x14ac:dyDescent="0.2">
      <c r="H41" s="2" t="s">
        <v>105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 spans="1:2" x14ac:dyDescent="0.2">
      <c r="A1" t="s">
        <v>46</v>
      </c>
      <c r="B1" t="s">
        <v>45</v>
      </c>
    </row>
    <row r="2" spans="1:2" x14ac:dyDescent="0.2">
      <c r="A2" t="s">
        <v>47</v>
      </c>
      <c r="B2">
        <v>1</v>
      </c>
    </row>
    <row r="3" spans="1:2" x14ac:dyDescent="0.2">
      <c r="A3" t="s">
        <v>49</v>
      </c>
      <c r="B3">
        <v>4</v>
      </c>
    </row>
    <row r="4" spans="1:2" x14ac:dyDescent="0.2">
      <c r="A4" t="s">
        <v>48</v>
      </c>
      <c r="B4">
        <v>5</v>
      </c>
    </row>
    <row r="5" spans="1:2" x14ac:dyDescent="0.2">
      <c r="A5" t="s">
        <v>50</v>
      </c>
      <c r="B5">
        <v>5</v>
      </c>
    </row>
    <row r="6" spans="1:2" x14ac:dyDescent="0.2">
      <c r="A6" t="s">
        <v>51</v>
      </c>
      <c r="B6">
        <v>6</v>
      </c>
    </row>
    <row r="7" spans="1:2" x14ac:dyDescent="0.2">
      <c r="A7" t="s">
        <v>52</v>
      </c>
      <c r="B7">
        <v>6</v>
      </c>
    </row>
    <row r="8" spans="1:2" x14ac:dyDescent="0.2">
      <c r="A8" t="s">
        <v>53</v>
      </c>
      <c r="B8">
        <v>8</v>
      </c>
    </row>
    <row r="9" spans="1:2" x14ac:dyDescent="0.2">
      <c r="A9" t="s">
        <v>55</v>
      </c>
      <c r="B9">
        <v>10</v>
      </c>
    </row>
    <row r="10" spans="1:2" x14ac:dyDescent="0.2">
      <c r="A10" t="s">
        <v>54</v>
      </c>
      <c r="B10">
        <v>10</v>
      </c>
    </row>
    <row r="11" spans="1:2" x14ac:dyDescent="0.2">
      <c r="A11" t="s">
        <v>56</v>
      </c>
      <c r="B11">
        <v>11</v>
      </c>
    </row>
    <row r="12" spans="1:2" x14ac:dyDescent="0.2">
      <c r="A12" t="s">
        <v>58</v>
      </c>
      <c r="B12">
        <v>12</v>
      </c>
    </row>
    <row r="13" spans="1:2" x14ac:dyDescent="0.2">
      <c r="A13" t="s">
        <v>57</v>
      </c>
      <c r="B13">
        <v>13</v>
      </c>
    </row>
    <row r="14" spans="1:2" x14ac:dyDescent="0.2">
      <c r="A14" t="s">
        <v>59</v>
      </c>
      <c r="B14">
        <v>13</v>
      </c>
    </row>
    <row r="15" spans="1:2" x14ac:dyDescent="0.2">
      <c r="A15" t="s">
        <v>60</v>
      </c>
      <c r="B15">
        <v>15</v>
      </c>
    </row>
    <row r="16" spans="1:2" x14ac:dyDescent="0.2">
      <c r="A16" t="s">
        <v>61</v>
      </c>
      <c r="B16">
        <v>16</v>
      </c>
    </row>
    <row r="17" spans="1:2" x14ac:dyDescent="0.2">
      <c r="A17" t="s">
        <v>63</v>
      </c>
      <c r="B17">
        <v>16</v>
      </c>
    </row>
    <row r="18" spans="1:2" x14ac:dyDescent="0.2">
      <c r="A18" t="s">
        <v>62</v>
      </c>
      <c r="B18">
        <v>16</v>
      </c>
    </row>
    <row r="19" spans="1:2" x14ac:dyDescent="0.2">
      <c r="A19" t="s">
        <v>64</v>
      </c>
      <c r="B19">
        <v>16</v>
      </c>
    </row>
    <row r="20" spans="1:2" x14ac:dyDescent="0.2">
      <c r="A20" t="s">
        <v>65</v>
      </c>
      <c r="B20">
        <v>17</v>
      </c>
    </row>
    <row r="21" spans="1:2" x14ac:dyDescent="0.2">
      <c r="A21" t="s">
        <v>66</v>
      </c>
      <c r="B21">
        <v>18</v>
      </c>
    </row>
    <row r="22" spans="1:2" x14ac:dyDescent="0.2">
      <c r="A22" t="s">
        <v>69</v>
      </c>
      <c r="B22">
        <v>19</v>
      </c>
    </row>
    <row r="23" spans="1:2" x14ac:dyDescent="0.2">
      <c r="A23" t="s">
        <v>68</v>
      </c>
      <c r="B23">
        <v>19</v>
      </c>
    </row>
    <row r="24" spans="1:2" x14ac:dyDescent="0.2">
      <c r="A24" t="s">
        <v>70</v>
      </c>
      <c r="B24">
        <v>20</v>
      </c>
    </row>
    <row r="25" spans="1:2" x14ac:dyDescent="0.2">
      <c r="A25" t="s">
        <v>67</v>
      </c>
      <c r="B25">
        <v>20</v>
      </c>
    </row>
    <row r="26" spans="1:2" x14ac:dyDescent="0.2">
      <c r="A26" t="s">
        <v>71</v>
      </c>
      <c r="B26">
        <v>21</v>
      </c>
    </row>
    <row r="27" spans="1:2" x14ac:dyDescent="0.2">
      <c r="A27" t="s">
        <v>72</v>
      </c>
      <c r="B27">
        <v>22</v>
      </c>
    </row>
    <row r="28" spans="1:2" x14ac:dyDescent="0.2">
      <c r="A28" t="s">
        <v>73</v>
      </c>
      <c r="B28">
        <v>24</v>
      </c>
    </row>
    <row r="29" spans="1:2" x14ac:dyDescent="0.2">
      <c r="A29" t="s">
        <v>74</v>
      </c>
      <c r="B29">
        <v>25</v>
      </c>
    </row>
    <row r="30" spans="1:2" x14ac:dyDescent="0.2">
      <c r="A30" t="s">
        <v>75</v>
      </c>
      <c r="B30">
        <v>27</v>
      </c>
    </row>
    <row r="31" spans="1:2" x14ac:dyDescent="0.2">
      <c r="A31" t="s">
        <v>76</v>
      </c>
      <c r="B31">
        <v>30</v>
      </c>
    </row>
    <row r="32" spans="1:2" x14ac:dyDescent="0.2">
      <c r="A32" t="s">
        <v>77</v>
      </c>
      <c r="B32">
        <v>31</v>
      </c>
    </row>
    <row r="33" spans="1:2" x14ac:dyDescent="0.2">
      <c r="A33" t="s">
        <v>78</v>
      </c>
      <c r="B33">
        <v>32</v>
      </c>
    </row>
    <row r="34" spans="1:2" x14ac:dyDescent="0.2">
      <c r="A34" t="s">
        <v>79</v>
      </c>
      <c r="B34">
        <v>35</v>
      </c>
    </row>
    <row r="35" spans="1:2" x14ac:dyDescent="0.2">
      <c r="A35" t="s">
        <v>80</v>
      </c>
      <c r="B35">
        <v>36</v>
      </c>
    </row>
    <row r="36" spans="1:2" x14ac:dyDescent="0.2">
      <c r="A36" t="s">
        <v>82</v>
      </c>
      <c r="B36">
        <v>37</v>
      </c>
    </row>
    <row r="37" spans="1:2" x14ac:dyDescent="0.2">
      <c r="A37" t="s">
        <v>81</v>
      </c>
      <c r="B37">
        <v>38</v>
      </c>
    </row>
    <row r="38" spans="1:2" x14ac:dyDescent="0.2">
      <c r="A38" t="s">
        <v>83</v>
      </c>
      <c r="B38">
        <v>41</v>
      </c>
    </row>
    <row r="39" spans="1:2" x14ac:dyDescent="0.2">
      <c r="A39" t="s">
        <v>84</v>
      </c>
      <c r="B39">
        <v>42</v>
      </c>
    </row>
    <row r="40" spans="1:2" x14ac:dyDescent="0.2">
      <c r="A40" t="s">
        <v>85</v>
      </c>
      <c r="B40">
        <v>42</v>
      </c>
    </row>
    <row r="41" spans="1:2" x14ac:dyDescent="0.2">
      <c r="A41" t="s">
        <v>86</v>
      </c>
      <c r="B41">
        <v>46</v>
      </c>
    </row>
    <row r="42" spans="1:2" x14ac:dyDescent="0.2">
      <c r="A42" t="s">
        <v>87</v>
      </c>
      <c r="B42">
        <v>46</v>
      </c>
    </row>
    <row r="43" spans="1:2" x14ac:dyDescent="0.2">
      <c r="A43" t="s">
        <v>88</v>
      </c>
      <c r="B43">
        <v>47</v>
      </c>
    </row>
    <row r="44" spans="1:2" x14ac:dyDescent="0.2">
      <c r="A44" t="s">
        <v>89</v>
      </c>
      <c r="B44">
        <v>51</v>
      </c>
    </row>
    <row r="45" spans="1:2" x14ac:dyDescent="0.2">
      <c r="A45" t="s">
        <v>90</v>
      </c>
      <c r="B45">
        <v>53</v>
      </c>
    </row>
    <row r="46" spans="1:2" x14ac:dyDescent="0.2">
      <c r="A46" t="s">
        <v>91</v>
      </c>
      <c r="B46">
        <v>55</v>
      </c>
    </row>
    <row r="47" spans="1:2" x14ac:dyDescent="0.2">
      <c r="A47" t="s">
        <v>93</v>
      </c>
      <c r="B47">
        <v>58</v>
      </c>
    </row>
    <row r="48" spans="1:2" x14ac:dyDescent="0.2">
      <c r="A48" t="s">
        <v>92</v>
      </c>
      <c r="B48">
        <v>58</v>
      </c>
    </row>
    <row r="49" spans="1:10" x14ac:dyDescent="0.2">
      <c r="A49" t="s">
        <v>94</v>
      </c>
      <c r="B49">
        <v>69</v>
      </c>
    </row>
    <row r="50" spans="1:10" x14ac:dyDescent="0.2">
      <c r="A50" t="s">
        <v>95</v>
      </c>
      <c r="B50">
        <v>75</v>
      </c>
    </row>
    <row r="51" spans="1:10" x14ac:dyDescent="0.2">
      <c r="A51" t="s">
        <v>96</v>
      </c>
      <c r="B51">
        <v>99</v>
      </c>
    </row>
    <row r="52" spans="1:10" x14ac:dyDescent="0.2">
      <c r="A52" t="s">
        <v>97</v>
      </c>
      <c r="B52">
        <v>108</v>
      </c>
    </row>
    <row r="53" spans="1:10" x14ac:dyDescent="0.2">
      <c r="A53" t="s">
        <v>98</v>
      </c>
      <c r="B53">
        <v>159</v>
      </c>
    </row>
    <row r="54" spans="1:10" x14ac:dyDescent="0.2">
      <c r="A54" t="s">
        <v>99</v>
      </c>
      <c r="B54">
        <v>180</v>
      </c>
    </row>
    <row r="55" spans="1:10" x14ac:dyDescent="0.2">
      <c r="A55" t="s">
        <v>100</v>
      </c>
      <c r="B55">
        <v>199</v>
      </c>
    </row>
    <row r="56" spans="1:10" x14ac:dyDescent="0.2">
      <c r="A56" t="s">
        <v>101</v>
      </c>
      <c r="B56">
        <v>238</v>
      </c>
    </row>
    <row r="59" spans="1:10" ht="409.6" x14ac:dyDescent="0.2">
      <c r="J59" s="2" t="s">
        <v>104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 spans="1:3" x14ac:dyDescent="0.2">
      <c r="A1" t="s">
        <v>18</v>
      </c>
      <c r="B1" t="s">
        <v>20</v>
      </c>
      <c r="C1" t="s">
        <v>38</v>
      </c>
    </row>
    <row r="2" spans="1:3" x14ac:dyDescent="0.2">
      <c r="A2">
        <v>2</v>
      </c>
      <c r="B2" t="s">
        <v>23</v>
      </c>
      <c r="C2">
        <v>9800</v>
      </c>
    </row>
    <row r="3" spans="1:3" x14ac:dyDescent="0.2">
      <c r="A3">
        <v>493</v>
      </c>
      <c r="B3" t="s">
        <v>36</v>
      </c>
      <c r="C3">
        <v>11550</v>
      </c>
    </row>
    <row r="4" spans="1:3" x14ac:dyDescent="0.2">
      <c r="A4">
        <v>128</v>
      </c>
      <c r="B4" t="s">
        <v>34</v>
      </c>
      <c r="C4">
        <v>11560</v>
      </c>
    </row>
    <row r="5" spans="1:3" x14ac:dyDescent="0.2">
      <c r="A5">
        <v>14</v>
      </c>
      <c r="B5" t="s">
        <v>28</v>
      </c>
      <c r="C5">
        <v>15850</v>
      </c>
    </row>
    <row r="6" spans="1:3" x14ac:dyDescent="0.2">
      <c r="A6">
        <v>125</v>
      </c>
      <c r="B6" t="s">
        <v>32</v>
      </c>
      <c r="C6">
        <v>17650</v>
      </c>
    </row>
    <row r="7" spans="1:3" x14ac:dyDescent="0.2">
      <c r="A7">
        <v>106</v>
      </c>
      <c r="B7" t="s">
        <v>31</v>
      </c>
      <c r="C7">
        <v>44290</v>
      </c>
    </row>
    <row r="8" spans="1:3" x14ac:dyDescent="0.2">
      <c r="A8">
        <v>421</v>
      </c>
      <c r="B8" t="s">
        <v>35</v>
      </c>
      <c r="C8">
        <v>64170</v>
      </c>
    </row>
    <row r="9" spans="1:3" x14ac:dyDescent="0.2">
      <c r="A9">
        <v>126</v>
      </c>
      <c r="B9" t="s">
        <v>33</v>
      </c>
      <c r="C9">
        <v>106370</v>
      </c>
    </row>
    <row r="10" spans="1:3" x14ac:dyDescent="0.2">
      <c r="A10">
        <v>29</v>
      </c>
      <c r="B10" t="s">
        <v>29</v>
      </c>
      <c r="C10">
        <v>392510</v>
      </c>
    </row>
    <row r="11" spans="1:3" x14ac:dyDescent="0.2">
      <c r="A11">
        <v>62</v>
      </c>
      <c r="B11" t="s">
        <v>30</v>
      </c>
      <c r="C11">
        <v>534990</v>
      </c>
    </row>
    <row r="24" spans="1:1" x14ac:dyDescent="0.2">
      <c r="A24" s="13" t="s">
        <v>102</v>
      </c>
    </row>
    <row r="25" spans="1:1" x14ac:dyDescent="0.2">
      <c r="A25" s="15" t="s">
        <v>106</v>
      </c>
    </row>
    <row r="26" spans="1:1" x14ac:dyDescent="0.2">
      <c r="A26" s="15" t="s">
        <v>107</v>
      </c>
    </row>
    <row r="27" spans="1:1" x14ac:dyDescent="0.2">
      <c r="A27" s="13" t="s">
        <v>108</v>
      </c>
    </row>
    <row r="28" spans="1:1" x14ac:dyDescent="0.2">
      <c r="A28" s="13" t="s">
        <v>103</v>
      </c>
    </row>
    <row r="29" spans="1:1" x14ac:dyDescent="0.2">
      <c r="A29" s="13" t="s">
        <v>109</v>
      </c>
    </row>
    <row r="30" spans="1:1" x14ac:dyDescent="0.2">
      <c r="A30" s="13" t="s">
        <v>110</v>
      </c>
    </row>
    <row r="31" spans="1:1" x14ac:dyDescent="0.2">
      <c r="A31" s="13" t="s">
        <v>111</v>
      </c>
    </row>
    <row r="32" spans="1:1" x14ac:dyDescent="0.2">
      <c r="A32" s="13" t="s">
        <v>112</v>
      </c>
    </row>
    <row r="33" spans="1:1" x14ac:dyDescent="0.2">
      <c r="A33" s="13" t="s">
        <v>113</v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2026-04-22T10:10:50Z</dcterms:modified>
</cp:coreProperties>
</file>