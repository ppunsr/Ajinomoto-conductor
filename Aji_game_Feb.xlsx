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boora01/Ajinomoto_agents_pptx/"/>
    </mc:Choice>
  </mc:AlternateContent>
  <xr:revisionPtr revIDLastSave="0" documentId="13_ncr:1_{F4C399D1-8CE8-164F-BED0-784B91318CE4}" xr6:coauthVersionLast="47" xr6:coauthVersionMax="47" xr10:uidLastSave="{00000000-0000-0000-0000-000000000000}"/>
  <bookViews>
    <workbookView xWindow="2240" yWindow="-19460" windowWidth="30240" windowHeight="17860" xr2:uid="{21F6189A-E587-BD42-BB90-C9E09379CDC7}"/>
  </bookViews>
  <sheets>
    <sheet name="User_funnel" sheetId="1" r:id="rId1"/>
    <sheet name="User Engagement" sheetId="9" r:id="rId2"/>
    <sheet name="gameplay_report(score) " sheetId="10" r:id="rId3"/>
    <sheet name="gameplay_report(time) " sheetId="11" r:id="rId4"/>
    <sheet name="state" sheetId="6" r:id="rId5"/>
    <sheet name="menu" sheetId="7" r:id="rId6"/>
    <sheet name="score" sheetId="8" r:id="rId7"/>
  </sheets>
  <definedNames>
    <definedName name="_xlchart.v2.0" hidden="1">User_funnel!$A$2:$A$4</definedName>
    <definedName name="_xlchart.v2.1" hidden="1">User_funnel!$B$2:$B$4</definedName>
    <definedName name="_xlchart.v2.2" hidden="1">User_funnel!$A$2:$A$4</definedName>
    <definedName name="_xlchart.v2.3" hidden="1">User_funnel!$B$1</definedName>
    <definedName name="_xlchart.v2.4" hidden="1">User_funnel!$B$2:$B$4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1" l="1"/>
  <c r="I15" i="9"/>
  <c r="H2" i="11"/>
  <c r="C126" i="10"/>
  <c r="F2" i="10"/>
  <c r="H2" i="9"/>
  <c r="F2" i="11"/>
  <c r="B12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G2" i="11" s="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4" i="11"/>
  <c r="B3" i="11"/>
  <c r="B2" i="11"/>
  <c r="F58" i="10" l="1"/>
  <c r="D2" i="10"/>
  <c r="E2" i="10"/>
  <c r="L9" i="9"/>
  <c r="G2" i="9"/>
  <c r="F2" i="9"/>
  <c r="E2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8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K9" i="9"/>
  <c r="J9" i="9"/>
  <c r="I9" i="9"/>
  <c r="D9" i="9"/>
  <c r="D7" i="9"/>
  <c r="D6" i="9"/>
  <c r="D5" i="9"/>
</calcChain>
</file>

<file path=xl/sharedStrings.xml><?xml version="1.0" encoding="utf-8"?>
<sst xmlns="http://schemas.openxmlformats.org/spreadsheetml/2006/main" count="146" uniqueCount="131">
  <si>
    <t>event</t>
  </si>
  <si>
    <t>Totalclick</t>
  </si>
  <si>
    <t>Player</t>
  </si>
  <si>
    <t>User Funnel (no. of user)</t>
  </si>
  <si>
    <t>play_date</t>
  </si>
  <si>
    <t>new_users</t>
  </si>
  <si>
    <t>returning_users</t>
  </si>
  <si>
    <t>Dec</t>
  </si>
  <si>
    <t>Jan</t>
  </si>
  <si>
    <t>feb</t>
  </si>
  <si>
    <t>Daily actuve user</t>
  </si>
  <si>
    <t>Monthly active user</t>
  </si>
  <si>
    <t>user stickiness</t>
  </si>
  <si>
    <t>sum</t>
  </si>
  <si>
    <t>avg (Dec)</t>
  </si>
  <si>
    <t>avg (Jan)</t>
  </si>
  <si>
    <t>avg (Feb)</t>
  </si>
  <si>
    <t>Register</t>
  </si>
  <si>
    <t>profile_id</t>
  </si>
  <si>
    <t>stage_name</t>
  </si>
  <si>
    <t>line_username</t>
  </si>
  <si>
    <t>Winning Meals</t>
  </si>
  <si>
    <t>Umami Daily</t>
  </si>
  <si>
    <t>Icezy</t>
  </si>
  <si>
    <t>Everyday Flavor</t>
  </si>
  <si>
    <t>Tasty Noodles</t>
  </si>
  <si>
    <t>Treat Time</t>
  </si>
  <si>
    <t>Healthy Harmony</t>
  </si>
  <si>
    <t>cyberbank</t>
  </si>
  <si>
    <t>ชมภูนุช995</t>
  </si>
  <si>
    <t>Tae Tualek</t>
  </si>
  <si>
    <t>CYNN ☃️🥕</t>
  </si>
  <si>
    <t>☀️👑Beau542♾🔥🎯</t>
  </si>
  <si>
    <t>Oum</t>
  </si>
  <si>
    <t>Praewxntkp 🌻🌝</t>
  </si>
  <si>
    <t>cat chiangmai</t>
  </si>
  <si>
    <t>Nim💕</t>
  </si>
  <si>
    <t>update_date</t>
  </si>
  <si>
    <t>total_score</t>
  </si>
  <si>
    <t>AVG(Jan)</t>
  </si>
  <si>
    <t>AVG(Feb)</t>
  </si>
  <si>
    <t>total_duration_sec</t>
  </si>
  <si>
    <t>total_duration</t>
  </si>
  <si>
    <t>Avg (Jan)</t>
  </si>
  <si>
    <t>Avg (Feb)</t>
  </si>
  <si>
    <t>total_count</t>
  </si>
  <si>
    <t>recipe_menu</t>
  </si>
  <si>
    <t>ก๋วยเตี๋ยวคั่วไก่</t>
  </si>
  <si>
    <t>ไข่ตุ๋น</t>
  </si>
  <si>
    <t>ปีกไก่ทอด</t>
  </si>
  <si>
    <t>ไข่ดาวน้ำกับสลัดอกไก่โชยุ</t>
  </si>
  <si>
    <t>ข้าวขยำสมุนไพรกับคอหมูย่าง</t>
  </si>
  <si>
    <t>ไข่ตุ๋นจักรพรรดิ์</t>
  </si>
  <si>
    <t>พาสต้าผัดหมูหยอง</t>
  </si>
  <si>
    <t>แซนด์วิซเนื้อเทริยากิ</t>
  </si>
  <si>
    <t>มันฝรั่งอบกับหมูทอด</t>
  </si>
  <si>
    <t>เบอร์เกอร์หมูควินัว</t>
  </si>
  <si>
    <t>ก๋วยเตี๊ยวหมูน้ำใส</t>
  </si>
  <si>
    <t>หมูตกครก</t>
  </si>
  <si>
    <t>เกี๊ยวซ่าซอสเสฉวน</t>
  </si>
  <si>
    <t>สลัดทูน่าแซ่บ</t>
  </si>
  <si>
    <t>เกี๊ยวซ่าหมูกับต้มเส้นก๋วยจั๊บอุบล</t>
  </si>
  <si>
    <t>ทอดมันกุ้งห่อไข่</t>
  </si>
  <si>
    <t>ผัดไทเพื่อสุขภาพ</t>
  </si>
  <si>
    <t>ยำยำ ต้มยำทะเลหม้อไฟแห้ง</t>
  </si>
  <si>
    <t>ไข่เจียวสตีฟโรเจอร์</t>
  </si>
  <si>
    <t>โจ๊กหมู</t>
  </si>
  <si>
    <t>ไข่ระเบิด</t>
  </si>
  <si>
    <t>เส้นหมี่ไก่ฉีกหมูกระจกรสลาบ</t>
  </si>
  <si>
    <t>โอโคโนมิยากิ สไตล์ฮิโรชิมา</t>
  </si>
  <si>
    <t>ไส้กรอกผัดซอสเทริยากิ</t>
  </si>
  <si>
    <t>ยำปลาทูมะเขือสองสี</t>
  </si>
  <si>
    <t>แกงจืดมะระยัดไส้หมูสับ</t>
  </si>
  <si>
    <t>เกี๊ยวซ่าซอสเมนไทโกะ</t>
  </si>
  <si>
    <t>ผัดผักรวม</t>
  </si>
  <si>
    <t>ตับกระเทียม</t>
  </si>
  <si>
    <t>คิมบับไข่เจียวโต้รุ่ง</t>
  </si>
  <si>
    <t>สปาเก็ตตี้ผัดขี้เมา</t>
  </si>
  <si>
    <t>ข้าวปั้นพาวเวอร์บอลกะเพรา</t>
  </si>
  <si>
    <t>หมูย่างกับข้าวผัดโหระพา</t>
  </si>
  <si>
    <t>ต้มข่าไก่</t>
  </si>
  <si>
    <t>ผัดผักบุ้งไฟแดง</t>
  </si>
  <si>
    <t>แรปไข่เด็กหอไม่ง้อใคร</t>
  </si>
  <si>
    <t>สลัดแซลมอน</t>
  </si>
  <si>
    <t>ทาร์ตไข่โชยุคาราเมล</t>
  </si>
  <si>
    <t>สลัดเต้าหู้ย่างเทริยากิ</t>
  </si>
  <si>
    <t>ไข่ม้วนโฮมเมด</t>
  </si>
  <si>
    <t>กะเพราหมูอีซี่</t>
  </si>
  <si>
    <t>ต้มยำกุ้งรวมเห็ด</t>
  </si>
  <si>
    <t>สลัดอกไก่พริกไทยดำ</t>
  </si>
  <si>
    <t>ข้าวผัดปลาทูน่าหลากสี</t>
  </si>
  <si>
    <t>รามยอนต้มยำกุ้ง หมูเด้ง</t>
  </si>
  <si>
    <t>ยำยำแซลมอนขี้เมา</t>
  </si>
  <si>
    <t>แกงเขียวหวานไก่</t>
  </si>
  <si>
    <t>ผัดกะเพราเต้าหู้</t>
  </si>
  <si>
    <t>เส้นหมี่ผัดซีอิ๊ว</t>
  </si>
  <si>
    <t>ข้าวหน้าไข่นุ่ม</t>
  </si>
  <si>
    <t>สุกี้น้ำไก่</t>
  </si>
  <si>
    <t>ไข่พะโล้</t>
  </si>
  <si>
    <t>ทูน่าลุยสวน</t>
  </si>
  <si>
    <t>หมูผัดผงกะหรี่</t>
  </si>
  <si>
    <t>ข้าวผัดหมู</t>
  </si>
  <si>
    <r>
      <t>SELECT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</si>
  <si>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updated_at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update_date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</si>
  <si>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</si>
  <si>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`dentsu-merkle-ajt.ajt_game_dataset_test.gameplay_report`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</si>
  <si>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</si>
  <si>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</si>
  <si>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ASC</t>
    </r>
    <r>
      <rPr>
        <sz val="12"/>
        <color rgb="FF202124"/>
        <rFont val="Menlo"/>
        <family val="2"/>
      </rPr>
      <t xml:space="preserve">;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</si>
  <si>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duration_minutes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total_duration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</si>
  <si>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ROUND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duration_minutes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60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total_duration_sec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</si>
  <si>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Group ตาม update_date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</si>
  <si>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ASC</t>
    </r>
    <r>
      <rPr>
        <sz val="12"/>
        <color rgb="FF202124"/>
        <rFont val="Menlo"/>
        <family val="2"/>
      </rPr>
      <t xml:space="preserve">; </t>
    </r>
    <r>
      <rPr>
        <sz val="12"/>
        <color rgb="FFB80672"/>
        <rFont val="Menlo"/>
        <family val="2"/>
      </rPr>
      <t>-- เรียงจากวันที่ล่าสุด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</si>
  <si>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`dentsu-merkle-ajt.ajt_game_dataset_test.cooking_report`</t>
    </r>
  </si>
  <si>
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</si>
  <si>
    <t>SELECT 
    stage_name,              
    COUNT(*) as total_count,
FROM `dentsu-merkle-ajt.ajt_game_dataset_test.gameplay_report`
WHERE updated_at BETWEEN '2025-11-28 00:00:00' and '2026-02-28 23:59:59'
GROUP BY 
    1 -- Group ตาม stage_name (คอลัมน์ที่ 1)
ORDER BY 
    2 DESC; -- เรียงจาก มากไปน้อย (ดูว่าด่านไหนคนเล่นเยอะสุด)</t>
  </si>
  <si>
    <r>
      <t>profile_id</t>
    </r>
    <r>
      <rPr>
        <sz val="12"/>
        <color rgb="FF202124"/>
        <rFont val="Menlo"/>
        <family val="2"/>
      </rPr>
      <t xml:space="preserve">, </t>
    </r>
  </si>
  <si>
    <r>
      <t>line_username</t>
    </r>
    <r>
      <rPr>
        <sz val="12"/>
        <color rgb="FF202124"/>
        <rFont val="Menlo"/>
        <family val="2"/>
      </rPr>
      <t xml:space="preserve">,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</si>
  <si>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reward_score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</si>
  <si>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'2025-11-28 00:00:00'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</si>
  <si>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'2026-02-28 23:59:59'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</si>
  <si>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profile_id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line_username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</si>
  <si>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DESC</t>
    </r>
  </si>
  <si>
    <r>
      <t>LIMIT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;</t>
    </r>
  </si>
  <si>
    <t>from slide</t>
  </si>
  <si>
    <t>avg(March)</t>
  </si>
  <si>
    <t>march</t>
  </si>
  <si>
    <t>AVG(March)</t>
  </si>
  <si>
    <t>Avg (March)</t>
  </si>
  <si>
    <t>average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</si>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</sst>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k&quot;"/>
  </numFmts>
  <fonts count="10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3C4043"/>
      <name val="Menlo"/>
      <family val="2"/>
    </font>
    <font>
      <sz val="12"/>
      <color rgb="FF000000"/>
      <name val="Menlo"/>
      <family val="2"/>
    </font>
    <font>
      <sz val="12"/>
      <color rgb="FFB06000"/>
      <name val="Menlo"/>
      <family val="2"/>
    </font>
    <font>
      <sz val="12"/>
      <color rgb="FFB80672"/>
      <name val="Menlo"/>
      <family val="2"/>
    </font>
    <font>
      <sz val="12"/>
      <color rgb="FF18803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2" fontId="2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4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New</a:t>
            </a:r>
            <a:r>
              <a:rPr lang="en-US" sz="2400" b="1" baseline="0">
                <a:solidFill>
                  <a:schemeClr val="tx1"/>
                </a:solidFill>
              </a:rPr>
              <a:t> user vs returning User (no. of user)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user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'User Engagement'!$A$36:$A$94</c:f>
              <c:numCache>
                <c:formatCode>m/d/yy</c:formatCode>
              </c:numCache>
            </c:numRef>
          </c:cat>
          <c:val>
            <c:numRef>
              <c:f>'User Engagement'!$B$36:$B$94</c:f>
              <c:numCache>
                <c:formatCode>General</c:formatCode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2-8C47-8D81-0B4BF7387695}"/>
            </c:ext>
          </c:extLst>
        </c:ser>
        <c:ser>
          <c:idx val="1"/>
          <c:order val="1"/>
          <c:tx>
            <c:v>returning User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'User Engagement'!$A$36:$A$94</c:f>
              <c:numCache>
                <c:formatCode>m/d/yy</c:formatCode>
              </c:numCache>
            </c:numRef>
          </c:cat>
          <c:val>
            <c:numRef>
              <c:f>'User Engagement'!$C$36:$C$94</c:f>
              <c:numCache>
                <c:formatCode>General</c:formatCode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42-8C47-8D81-0B4BF738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572544"/>
        <c:axId val="1319224640"/>
      </c:lineChart>
      <c:dateAx>
        <c:axId val="130857254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9224640"/>
        <c:crosses val="autoZero"/>
        <c:auto val="1"/>
        <c:lblOffset val="100"/>
        <c:baseTimeUnit val="days"/>
      </c:dateAx>
      <c:valAx>
        <c:axId val="13192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085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'gameplay_report(score) '!$B$1</c:f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'gameplay_report(score) '!$A$36:$A$94</c:f>
              <c:numCache>
                <c:formatCode>m/d/yy</c:formatCode>
              </c:numCache>
            </c:numRef>
          </c:cat>
          <c:val>
            <c:numRef>
              <c:f>'gameplay_report(score) '!$B$36:$B$94</c:f>
              <c:numCache>
                <c:formatCode>0,"k"</c:formatCode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86-F942-8A1B-A2D1B6C2E5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1679680"/>
        <c:axId val="1351481792"/>
      </c:lineChart>
      <c:dateAx>
        <c:axId val="131167968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481792"/>
        <c:crosses val="autoZero"/>
        <c:auto val="1"/>
        <c:lblOffset val="100"/>
        <c:baseTimeUnit val="days"/>
      </c:dateAx>
      <c:valAx>
        <c:axId val="13514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16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'gameplay_report(time) '!$A$36:$A$94</c:f>
              <c:numCache>
                <c:formatCode>m/d/yy</c:formatCode>
              </c:numCache>
            </c:numRef>
          </c:cat>
          <c:val>
            <c:numRef>
              <c:f>'gameplay_report(time) '!$B$36:$B$94</c:f>
              <c:numCache>
                <c:formatCode>0</c:formatCode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2-2248-A3D3-B64DE5C492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1370048"/>
        <c:axId val="1528029056"/>
      </c:lineChart>
      <c:dateAx>
        <c:axId val="13513700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8029056"/>
        <c:crosses val="autoZero"/>
        <c:auto val="1"/>
        <c:lblOffset val="100"/>
        <c:baseTimeUnit val="days"/>
      </c:dateAx>
      <c:valAx>
        <c:axId val="15280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37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state!$B$12</c:f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state!$A$12:$A$17</c:f>
            </c:strRef>
          </c:cat>
          <c:val>
            <c:numRef>
              <c:f>state!$B$12:$B$17</c:f>
              <c:numCache>
                <c:formatCode>General</c:formatCode>
              </c:numCache>
            </c:numRef>
          </c:val>
          <c:extLst>
            <c:ext xmlns:c16="http://schemas.microsoft.com/office/drawing/2014/chart" uri="{C3380CC4-5D6E-409C-BE32-E72D297353CC}">
              <c16:uniqueId val="{00000000-FD6E-0847-846D-0CBEE5F9F5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2458112"/>
        <c:axId val="1265885952"/>
      </c:barChart>
      <c:catAx>
        <c:axId val="153245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5885952"/>
        <c:crosses val="autoZero"/>
        <c:auto val="1"/>
        <c:lblAlgn val="ctr"/>
        <c:lblOffset val="100"/>
        <c:noMultiLvlLbl val="0"/>
      </c:catAx>
      <c:valAx>
        <c:axId val="12658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32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menu!$B$1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menu!$A$2:$A$56</c:f>
            </c:strRef>
          </c:cat>
          <c:val>
            <c:numRef>
              <c:f>menu!$B$2:$B$56</c:f>
              <c:numCache>
                <c:formatCode>General</c:formatCode>
              </c:numCache>
            </c:numRef>
          </c:val>
          <c:extLst>
            <c:ext xmlns:c16="http://schemas.microsoft.com/office/drawing/2014/chart" uri="{C3380CC4-5D6E-409C-BE32-E72D297353CC}">
              <c16:uniqueId val="{00000000-6DA5-314B-8E28-2D0BF29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344779840"/>
        <c:axId val="1527495552"/>
      </c:barChart>
      <c:catAx>
        <c:axId val="134477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7495552"/>
        <c:crosses val="autoZero"/>
        <c:auto val="1"/>
        <c:lblAlgn val="ctr"/>
        <c:lblOffset val="100"/>
        <c:noMultiLvlLbl val="0"/>
      </c:catAx>
      <c:valAx>
        <c:axId val="152749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447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>
        <c:manualLayout>
          <c:layoutTarget val="inner"/>
          <c:xMode val="edge"/>
          <c:yMode val="edge"/>
          <c:x val="0.25503915135608046"/>
          <c:y val="0.17168999708369787"/>
          <c:w val="0.6902941819772529"/>
          <c:h val="0.72128098571011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score!$C$1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342-5240-AC82-24D8D1F7F1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342-5240-AC82-24D8D1F7F1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342-5240-AC82-24D8D1F7F125}"/>
                </c:ext>
              </c:extLst>
            </c:dLbl>
            <c:dLbl>
              <c:idx val="3"/>
              <c:layout>
                <c:manualLayout>
                  <c:x val="4.4807882180668817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42-5240-AC82-24D8D1F7F125}"/>
                </c:ext>
              </c:extLst>
            </c:dLbl>
            <c:dLbl>
              <c:idx val="4"/>
              <c:layout>
                <c:manualLayout>
                  <c:x val="2.4097204446048496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42-5240-AC82-24D8D1F7F125}"/>
                </c:ext>
              </c:extLst>
            </c:dLbl>
            <c:dLbl>
              <c:idx val="5"/>
              <c:layout>
                <c:manualLayout>
                  <c:x val="-2.9993815216475374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42-5240-AC82-24D8D1F7F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score!$B$2:$B$11</c:f>
            </c:strRef>
          </c:cat>
          <c:val>
            <c:numRef>
              <c:f>score!$C$2:$C$11</c:f>
              <c:numCache>
                <c:formatCode>General</c:formatCode>
              </c:numCache>
            </c:numRef>
          </c:val>
          <c:extLst>
            <c:ext xmlns:c16="http://schemas.microsoft.com/office/drawing/2014/chart" uri="{C3380CC4-5D6E-409C-BE32-E72D297353CC}">
              <c16:uniqueId val="{00000000-2F8F-8F41-A65B-07114AB2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525954560"/>
        <c:axId val="1260962240"/>
      </c:barChart>
      <c:catAx>
        <c:axId val="152595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0962240"/>
        <c:crosses val="autoZero"/>
        <c:auto val="1"/>
        <c:lblAlgn val="ctr"/>
        <c:lblOffset val="100"/>
        <c:noMultiLvlLbl val="0"/>
      </c:catAx>
      <c:valAx>
        <c:axId val="12609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595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User Funnel (no. of user)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User Funnel (no. of user)</a:t>
          </a:r>
        </a:p>
      </cx:txPr>
    </cx:title>
    <cx:plotArea>
      <cx:plotAreaRegion>
        <cx:series layoutId="funnel" uniqueId="{FF778626-BD9D-2448-9E8D-09601F1DD472}">
          <cx:spPr>
            <a:solidFill>
              <a:srgbClr val="C00000"/>
            </a:solidFill>
          </cx:spPr>
          <cx:dataLabels/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70881</xdr:colOff>
      <xdr:row>12</xdr:row>
      <xdr:rowOff>101364</xdr:rowOff>
    </xdr:from>
    <xdr:to>
      <xdr:col>12</xdr:col>
      <xdr:colOff>178831</xdr:colOff>
      <xdr:row>28</xdr:row>
      <xdr:rowOff>139464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8BE905F-B388-5748-A61C-CA4B882CD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4881" y="2539764"/>
              <a:ext cx="3409950" cy="328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72751</xdr:colOff>
      <xdr:row>20</xdr:row>
      <xdr:rowOff>105363</xdr:rowOff>
    </xdr:from>
    <xdr:to>
      <xdr:col>27</xdr:col>
      <xdr:colOff>723218</xdr:colOff>
      <xdr:row>42</xdr:row>
      <xdr:rowOff>150720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1E645-4BC2-5541-A238-07D297581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703806</xdr:colOff>
      <xdr:row>15</xdr:row>
      <xdr:rowOff>16933</xdr:rowOff>
    </xdr:from>
    <xdr:to>
      <xdr:col>21</xdr:col>
      <xdr:colOff>16933</xdr:colOff>
      <xdr:row>33</xdr:row>
      <xdr:rowOff>148653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A620E-4BCE-FB47-9638-78D9E4E4A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6</xdr:row>
      <xdr:rowOff>124055</xdr:rowOff>
    </xdr:from>
    <xdr:to>
      <xdr:col>22</xdr:col>
      <xdr:colOff>795867</xdr:colOff>
      <xdr:row>23</xdr:row>
      <xdr:rowOff>87243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8C83F-2372-A340-8144-29096BE7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587307</xdr:colOff>
      <xdr:row>22</xdr:row>
      <xdr:rowOff>37064</xdr:rowOff>
    </xdr:from>
    <xdr:to>
      <xdr:col>12</xdr:col>
      <xdr:colOff>206307</xdr:colOff>
      <xdr:row>35</xdr:row>
      <xdr:rowOff>138664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F34A2-8D30-3F23-D602-89420D971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9</xdr:row>
      <xdr:rowOff>152400</xdr:rowOff>
    </xdr:from>
    <xdr:to>
      <xdr:col>14</xdr:col>
      <xdr:colOff>331305</xdr:colOff>
      <xdr:row>36</xdr:row>
      <xdr:rowOff>31553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98915-750C-E540-B693-BF430BC6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209281</xdr:colOff>
      <xdr:row>8</xdr:row>
      <xdr:rowOff>68329</xdr:rowOff>
    </xdr:from>
    <xdr:to>
      <xdr:col>11</xdr:col>
      <xdr:colOff>304084</xdr:colOff>
      <xdr:row>21</xdr:row>
      <xdr:rowOff>137374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15B11-9815-F4EC-90FB-A2F5AAC1B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136C-BA99-B548-B374-5E32657D69F6}">
  <dimension ref="A1:C5"/>
  <sheetViews>
    <sheetView tabSelected="1" zoomScale="133" workbookViewId="0">
      <selection activeCell="B2" sqref="B2:B4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</row>
    <row r="2" spans="1:3" x14ac:dyDescent="0.2">
      <c r="A2" t="s">
        <v>1</v>
      </c>
      <c r="B2">
        <v>572</v>
      </c>
      <c r="C2">
        <v>644</v>
      </c>
    </row>
    <row r="3" spans="1:3" x14ac:dyDescent="0.2">
      <c r="A3" t="s">
        <v>17</v>
      </c>
      <c r="B3">
        <v>510</v>
      </c>
      <c r="C3">
        <v>565</v>
      </c>
    </row>
    <row r="4" spans="1:3" x14ac:dyDescent="0.2">
      <c r="A4" t="s">
        <v>2</v>
      </c>
      <c r="B4">
        <v>230</v>
      </c>
      <c r="C4">
        <v>252</v>
      </c>
    </row>
    <row r="5" spans="1:3" x14ac:dyDescent="0.2">
      <c r="A5" t="s">
        <v>130</v>
      </c>
      <c r="B5" t="s">
        <v>9</v>
      </c>
      <c r="C5" t="s">
        <v>126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D239-6B24-8C4C-9A6C-CBD1ECF60961}">
  <dimension ref="A1:L123"/>
  <sheetViews>
    <sheetView zoomScale="81" zoomScaleNormal="80" workbookViewId="0">
      <selection activeCell="K46" sqref="K46"/>
    </sheetView>
  </sheetViews>
  <sheetFormatPr baseColWidth="10" defaultRowHeight="16" x14ac:dyDescent="0.2"/>
  <sheetData>
    <row r="1" spans="1:12" x14ac:dyDescent="0.2">
      <c r="A1" t="s">
        <v>4</v>
      </c>
      <c r="B1" t="s">
        <v>5</v>
      </c>
      <c r="C1" t="s">
        <v>6</v>
      </c>
      <c r="D1" t="s">
        <v>13</v>
      </c>
      <c r="E1" t="s">
        <v>14</v>
      </c>
      <c r="F1" t="s">
        <v>15</v>
      </c>
      <c r="G1" t="s">
        <v>16</v>
      </c>
      <c r="H1" t="s">
        <v>125</v>
      </c>
    </row>
    <row r="2" spans="1:12" x14ac:dyDescent="0.2">
      <c r="A2" s="1">
        <v>45989</v>
      </c>
      <c r="B2">
        <v>10</v>
      </c>
      <c r="C2">
        <v>0</v>
      </c>
      <c r="E2">
        <f>AVERAGE(D5:D35)</f>
        <v>7.67741935483871</v>
      </c>
      <c r="F2">
        <f>AVERAGE(D36:D66)</f>
        <v>5.67741935483871</v>
      </c>
      <c r="G2">
        <f>AVERAGE(D67:D94)</f>
        <v>4</v>
      </c>
      <c r="H2">
        <f>AVERAGE(D95:D123)</f>
        <v>2.9655172413793105</v>
      </c>
    </row>
    <row r="3" spans="1:12" x14ac:dyDescent="0.2">
      <c r="A3" s="1">
        <v>45990</v>
      </c>
      <c r="B3">
        <v>2</v>
      </c>
      <c r="C3">
        <v>2</v>
      </c>
    </row>
    <row r="4" spans="1:12" x14ac:dyDescent="0.2">
      <c r="A4" s="1">
        <v>45991</v>
      </c>
      <c r="B4">
        <v>1</v>
      </c>
      <c r="C4">
        <v>0</v>
      </c>
    </row>
    <row r="5" spans="1:12" x14ac:dyDescent="0.2">
      <c r="A5" s="1">
        <v>45992</v>
      </c>
      <c r="B5">
        <v>2</v>
      </c>
      <c r="C5">
        <v>2</v>
      </c>
      <c r="D5">
        <f>SUM(B5:C5)</f>
        <v>4</v>
      </c>
    </row>
    <row r="6" spans="1:12" x14ac:dyDescent="0.2">
      <c r="A6" s="1">
        <v>45993</v>
      </c>
      <c r="B6">
        <v>4</v>
      </c>
      <c r="C6">
        <v>2</v>
      </c>
      <c r="D6">
        <f t="shared" ref="D6:D69" si="0">SUM(B6:C6)</f>
        <v>6</v>
      </c>
      <c r="H6" t="s">
        <v>130</v>
      </c>
      <c r="I6" t="s">
        <v>7</v>
      </c>
      <c r="J6" t="s">
        <v>8</v>
      </c>
      <c r="K6" t="s">
        <v>9</v>
      </c>
      <c r="L6" t="s">
        <v>126</v>
      </c>
    </row>
    <row r="7" spans="1:12" ht="34" x14ac:dyDescent="0.2">
      <c r="A7" s="1">
        <v>45994</v>
      </c>
      <c r="B7">
        <v>2</v>
      </c>
      <c r="C7">
        <v>5</v>
      </c>
      <c r="D7">
        <f t="shared" si="0"/>
        <v>7</v>
      </c>
      <c r="H7" s="2" t="s">
        <v>10</v>
      </c>
      <c r="I7">
        <v>7.6</v>
      </c>
      <c r="J7">
        <v>5.6</v>
      </c>
      <c r="K7">
        <v>4</v>
      </c>
      <c r="L7">
        <v>3</v>
      </c>
    </row>
    <row r="8" spans="1:12" ht="34" x14ac:dyDescent="0.2">
      <c r="A8" s="1">
        <v>45995</v>
      </c>
      <c r="B8">
        <v>5</v>
      </c>
      <c r="C8">
        <v>3</v>
      </c>
      <c r="D8">
        <f>SUM(B8:C8)</f>
        <v>8</v>
      </c>
      <c r="H8" s="2" t="s">
        <v>11</v>
      </c>
      <c r="I8">
        <v>97</v>
      </c>
      <c r="J8">
        <v>82</v>
      </c>
      <c r="K8">
        <v>37</v>
      </c>
      <c r="L8">
        <v>21</v>
      </c>
    </row>
    <row r="9" spans="1:12" ht="34" x14ac:dyDescent="0.2">
      <c r="A9" s="1">
        <v>45996</v>
      </c>
      <c r="B9">
        <v>5</v>
      </c>
      <c r="C9">
        <v>5</v>
      </c>
      <c r="D9">
        <f t="shared" si="0"/>
        <v>10</v>
      </c>
      <c r="H9" s="2" t="s">
        <v>12</v>
      </c>
      <c r="I9">
        <f>(I7/I8)*100</f>
        <v>7.8350515463917523</v>
      </c>
      <c r="J9">
        <f>(J7/J8)*100</f>
        <v>6.8292682926829258</v>
      </c>
      <c r="K9">
        <f>(K7/K8)*100</f>
        <v>10.810810810810811</v>
      </c>
      <c r="L9">
        <f>(L7/L8)*100</f>
        <v>14.285714285714285</v>
      </c>
    </row>
    <row r="10" spans="1:12" x14ac:dyDescent="0.2">
      <c r="A10" s="1">
        <v>45997</v>
      </c>
      <c r="B10">
        <v>0</v>
      </c>
      <c r="C10">
        <v>6</v>
      </c>
      <c r="D10">
        <f t="shared" si="0"/>
        <v>6</v>
      </c>
    </row>
    <row r="11" spans="1:12" ht="17" x14ac:dyDescent="0.2">
      <c r="A11" s="1">
        <v>45998</v>
      </c>
      <c r="B11">
        <v>2</v>
      </c>
      <c r="C11">
        <v>4</v>
      </c>
      <c r="D11">
        <f t="shared" si="0"/>
        <v>6</v>
      </c>
      <c r="H11" s="2" t="s">
        <v>124</v>
      </c>
      <c r="I11">
        <v>9</v>
      </c>
    </row>
    <row r="12" spans="1:12" x14ac:dyDescent="0.2">
      <c r="A12" s="1">
        <v>45999</v>
      </c>
      <c r="B12">
        <v>3</v>
      </c>
      <c r="C12">
        <v>3</v>
      </c>
      <c r="D12">
        <f t="shared" si="0"/>
        <v>6</v>
      </c>
      <c r="H12" s="2"/>
    </row>
    <row r="13" spans="1:12" x14ac:dyDescent="0.2">
      <c r="A13" s="1">
        <v>46000</v>
      </c>
      <c r="B13">
        <v>10</v>
      </c>
      <c r="C13">
        <v>5</v>
      </c>
      <c r="D13">
        <f t="shared" si="0"/>
        <v>15</v>
      </c>
    </row>
    <row r="14" spans="1:12" x14ac:dyDescent="0.2">
      <c r="A14" s="1">
        <v>46001</v>
      </c>
      <c r="B14">
        <v>2</v>
      </c>
      <c r="C14">
        <v>4</v>
      </c>
      <c r="D14">
        <f t="shared" si="0"/>
        <v>6</v>
      </c>
    </row>
    <row r="15" spans="1:12" x14ac:dyDescent="0.2">
      <c r="A15" s="1">
        <v>46002</v>
      </c>
      <c r="B15">
        <v>4</v>
      </c>
      <c r="C15">
        <v>8</v>
      </c>
      <c r="D15">
        <f t="shared" si="0"/>
        <v>12</v>
      </c>
      <c r="H15" t="s">
        <v>129</v>
      </c>
      <c r="I15">
        <f>AVERAGE(I9:L9)</f>
        <v>9.9402112338999444</v>
      </c>
    </row>
    <row r="16" spans="1:12" x14ac:dyDescent="0.2">
      <c r="A16" s="1">
        <v>46003</v>
      </c>
      <c r="B16">
        <v>4</v>
      </c>
      <c r="C16">
        <v>3</v>
      </c>
      <c r="D16">
        <f t="shared" si="0"/>
        <v>7</v>
      </c>
    </row>
    <row r="17" spans="1:4" x14ac:dyDescent="0.2">
      <c r="A17" s="1">
        <v>46004</v>
      </c>
      <c r="B17">
        <v>3</v>
      </c>
      <c r="C17">
        <v>9</v>
      </c>
      <c r="D17">
        <f t="shared" si="0"/>
        <v>12</v>
      </c>
    </row>
    <row r="18" spans="1:4" x14ac:dyDescent="0.2">
      <c r="A18" s="1">
        <v>46005</v>
      </c>
      <c r="B18">
        <v>1</v>
      </c>
      <c r="C18">
        <v>5</v>
      </c>
      <c r="D18">
        <f t="shared" si="0"/>
        <v>6</v>
      </c>
    </row>
    <row r="19" spans="1:4" x14ac:dyDescent="0.2">
      <c r="A19" s="1">
        <v>46006</v>
      </c>
      <c r="B19">
        <v>3</v>
      </c>
      <c r="C19">
        <v>6</v>
      </c>
      <c r="D19">
        <f t="shared" si="0"/>
        <v>9</v>
      </c>
    </row>
    <row r="20" spans="1:4" x14ac:dyDescent="0.2">
      <c r="A20" s="1">
        <v>46007</v>
      </c>
      <c r="B20">
        <v>1</v>
      </c>
      <c r="C20">
        <v>7</v>
      </c>
      <c r="D20">
        <f t="shared" si="0"/>
        <v>8</v>
      </c>
    </row>
    <row r="21" spans="1:4" x14ac:dyDescent="0.2">
      <c r="A21" s="1">
        <v>46008</v>
      </c>
      <c r="B21">
        <v>2</v>
      </c>
      <c r="C21">
        <v>5</v>
      </c>
      <c r="D21">
        <f t="shared" si="0"/>
        <v>7</v>
      </c>
    </row>
    <row r="22" spans="1:4" x14ac:dyDescent="0.2">
      <c r="A22" s="1">
        <v>46009</v>
      </c>
      <c r="B22">
        <v>4</v>
      </c>
      <c r="C22">
        <v>5</v>
      </c>
      <c r="D22">
        <f t="shared" si="0"/>
        <v>9</v>
      </c>
    </row>
    <row r="23" spans="1:4" x14ac:dyDescent="0.2">
      <c r="A23" s="1">
        <v>46010</v>
      </c>
      <c r="B23">
        <v>2</v>
      </c>
      <c r="C23">
        <v>4</v>
      </c>
      <c r="D23">
        <f t="shared" si="0"/>
        <v>6</v>
      </c>
    </row>
    <row r="24" spans="1:4" x14ac:dyDescent="0.2">
      <c r="A24" s="1">
        <v>46011</v>
      </c>
      <c r="B24">
        <v>0</v>
      </c>
      <c r="C24">
        <v>6</v>
      </c>
      <c r="D24">
        <f t="shared" si="0"/>
        <v>6</v>
      </c>
    </row>
    <row r="25" spans="1:4" x14ac:dyDescent="0.2">
      <c r="A25" s="1">
        <v>46012</v>
      </c>
      <c r="B25">
        <v>0</v>
      </c>
      <c r="C25">
        <v>3</v>
      </c>
      <c r="D25">
        <f t="shared" si="0"/>
        <v>3</v>
      </c>
    </row>
    <row r="26" spans="1:4" x14ac:dyDescent="0.2">
      <c r="A26" s="1">
        <v>46013</v>
      </c>
      <c r="B26">
        <v>7</v>
      </c>
      <c r="C26">
        <v>3</v>
      </c>
      <c r="D26">
        <f t="shared" si="0"/>
        <v>10</v>
      </c>
    </row>
    <row r="27" spans="1:4" x14ac:dyDescent="0.2">
      <c r="A27" s="1">
        <v>46014</v>
      </c>
      <c r="B27">
        <v>7</v>
      </c>
      <c r="C27">
        <v>6</v>
      </c>
      <c r="D27">
        <f t="shared" si="0"/>
        <v>13</v>
      </c>
    </row>
    <row r="28" spans="1:4" x14ac:dyDescent="0.2">
      <c r="A28" s="1">
        <v>46015</v>
      </c>
      <c r="B28">
        <v>1</v>
      </c>
      <c r="C28">
        <v>7</v>
      </c>
      <c r="D28">
        <f t="shared" si="0"/>
        <v>8</v>
      </c>
    </row>
    <row r="29" spans="1:4" x14ac:dyDescent="0.2">
      <c r="A29" s="1">
        <v>46016</v>
      </c>
      <c r="B29">
        <v>4</v>
      </c>
      <c r="C29">
        <v>5</v>
      </c>
      <c r="D29">
        <f t="shared" si="0"/>
        <v>9</v>
      </c>
    </row>
    <row r="30" spans="1:4" x14ac:dyDescent="0.2">
      <c r="A30" s="1">
        <v>46017</v>
      </c>
      <c r="B30">
        <v>3</v>
      </c>
      <c r="C30">
        <v>4</v>
      </c>
      <c r="D30">
        <f t="shared" si="0"/>
        <v>7</v>
      </c>
    </row>
    <row r="31" spans="1:4" x14ac:dyDescent="0.2">
      <c r="A31" s="1">
        <v>46018</v>
      </c>
      <c r="B31">
        <v>0</v>
      </c>
      <c r="C31">
        <v>3</v>
      </c>
      <c r="D31">
        <f t="shared" si="0"/>
        <v>3</v>
      </c>
    </row>
    <row r="32" spans="1:4" x14ac:dyDescent="0.2">
      <c r="A32" s="1">
        <v>46019</v>
      </c>
      <c r="B32">
        <v>3</v>
      </c>
      <c r="C32">
        <v>3</v>
      </c>
      <c r="D32">
        <f t="shared" si="0"/>
        <v>6</v>
      </c>
    </row>
    <row r="33" spans="1:4" x14ac:dyDescent="0.2">
      <c r="A33" s="1">
        <v>46020</v>
      </c>
      <c r="B33">
        <v>2</v>
      </c>
      <c r="C33">
        <v>4</v>
      </c>
      <c r="D33">
        <f t="shared" si="0"/>
        <v>6</v>
      </c>
    </row>
    <row r="34" spans="1:4" x14ac:dyDescent="0.2">
      <c r="A34" s="1">
        <v>46021</v>
      </c>
      <c r="B34">
        <v>4</v>
      </c>
      <c r="C34">
        <v>5</v>
      </c>
      <c r="D34">
        <f t="shared" si="0"/>
        <v>9</v>
      </c>
    </row>
    <row r="35" spans="1:4" x14ac:dyDescent="0.2">
      <c r="A35" s="1">
        <v>46022</v>
      </c>
      <c r="B35">
        <v>6</v>
      </c>
      <c r="C35">
        <v>2</v>
      </c>
      <c r="D35">
        <f t="shared" si="0"/>
        <v>8</v>
      </c>
    </row>
    <row r="36" spans="1:4" x14ac:dyDescent="0.2">
      <c r="A36" s="1">
        <v>46023</v>
      </c>
      <c r="B36">
        <v>4</v>
      </c>
      <c r="C36">
        <v>2</v>
      </c>
      <c r="D36">
        <f t="shared" si="0"/>
        <v>6</v>
      </c>
    </row>
    <row r="37" spans="1:4" x14ac:dyDescent="0.2">
      <c r="A37" s="1">
        <v>46024</v>
      </c>
      <c r="B37">
        <v>7</v>
      </c>
      <c r="C37">
        <v>3</v>
      </c>
      <c r="D37">
        <f t="shared" si="0"/>
        <v>10</v>
      </c>
    </row>
    <row r="38" spans="1:4" x14ac:dyDescent="0.2">
      <c r="A38" s="1">
        <v>46025</v>
      </c>
      <c r="B38">
        <v>1</v>
      </c>
      <c r="C38">
        <v>3</v>
      </c>
      <c r="D38">
        <f t="shared" si="0"/>
        <v>4</v>
      </c>
    </row>
    <row r="39" spans="1:4" x14ac:dyDescent="0.2">
      <c r="A39" s="1">
        <v>46026</v>
      </c>
      <c r="B39">
        <v>3</v>
      </c>
      <c r="C39">
        <v>3</v>
      </c>
      <c r="D39">
        <f t="shared" si="0"/>
        <v>6</v>
      </c>
    </row>
    <row r="40" spans="1:4" x14ac:dyDescent="0.2">
      <c r="A40" s="1">
        <v>46027</v>
      </c>
      <c r="B40">
        <v>3</v>
      </c>
      <c r="C40">
        <v>3</v>
      </c>
      <c r="D40">
        <f t="shared" si="0"/>
        <v>6</v>
      </c>
    </row>
    <row r="41" spans="1:4" x14ac:dyDescent="0.2">
      <c r="A41" s="1">
        <v>46028</v>
      </c>
      <c r="B41">
        <v>1</v>
      </c>
      <c r="C41">
        <v>5</v>
      </c>
      <c r="D41">
        <f t="shared" si="0"/>
        <v>6</v>
      </c>
    </row>
    <row r="42" spans="1:4" x14ac:dyDescent="0.2">
      <c r="A42" s="1">
        <v>46029</v>
      </c>
      <c r="B42">
        <v>6</v>
      </c>
      <c r="C42">
        <v>2</v>
      </c>
      <c r="D42">
        <f t="shared" si="0"/>
        <v>8</v>
      </c>
    </row>
    <row r="43" spans="1:4" x14ac:dyDescent="0.2">
      <c r="A43" s="1">
        <v>46030</v>
      </c>
      <c r="B43">
        <v>8</v>
      </c>
      <c r="C43">
        <v>2</v>
      </c>
      <c r="D43">
        <f t="shared" si="0"/>
        <v>10</v>
      </c>
    </row>
    <row r="44" spans="1:4" x14ac:dyDescent="0.2">
      <c r="A44" s="1">
        <v>46031</v>
      </c>
      <c r="B44">
        <v>2</v>
      </c>
      <c r="C44">
        <v>2</v>
      </c>
      <c r="D44">
        <f t="shared" si="0"/>
        <v>4</v>
      </c>
    </row>
    <row r="45" spans="1:4" x14ac:dyDescent="0.2">
      <c r="A45" s="1">
        <v>46032</v>
      </c>
      <c r="B45">
        <v>3</v>
      </c>
      <c r="C45">
        <v>2</v>
      </c>
      <c r="D45">
        <f t="shared" si="0"/>
        <v>5</v>
      </c>
    </row>
    <row r="46" spans="1:4" x14ac:dyDescent="0.2">
      <c r="A46" s="1">
        <v>46033</v>
      </c>
      <c r="B46">
        <v>2</v>
      </c>
      <c r="C46">
        <v>2</v>
      </c>
      <c r="D46">
        <f t="shared" si="0"/>
        <v>4</v>
      </c>
    </row>
    <row r="47" spans="1:4" x14ac:dyDescent="0.2">
      <c r="A47" s="1">
        <v>46034</v>
      </c>
      <c r="B47">
        <v>1</v>
      </c>
      <c r="C47">
        <v>5</v>
      </c>
      <c r="D47">
        <f t="shared" si="0"/>
        <v>6</v>
      </c>
    </row>
    <row r="48" spans="1:4" x14ac:dyDescent="0.2">
      <c r="A48" s="1">
        <v>46035</v>
      </c>
      <c r="B48">
        <v>1</v>
      </c>
      <c r="C48">
        <v>2</v>
      </c>
      <c r="D48">
        <f t="shared" si="0"/>
        <v>3</v>
      </c>
    </row>
    <row r="49" spans="1:4" x14ac:dyDescent="0.2">
      <c r="A49" s="1">
        <v>46036</v>
      </c>
      <c r="B49">
        <v>6</v>
      </c>
      <c r="C49">
        <v>3</v>
      </c>
      <c r="D49">
        <f t="shared" si="0"/>
        <v>9</v>
      </c>
    </row>
    <row r="50" spans="1:4" x14ac:dyDescent="0.2">
      <c r="A50" s="1">
        <v>46037</v>
      </c>
      <c r="B50">
        <v>2</v>
      </c>
      <c r="C50">
        <v>3</v>
      </c>
      <c r="D50">
        <f t="shared" si="0"/>
        <v>5</v>
      </c>
    </row>
    <row r="51" spans="1:4" x14ac:dyDescent="0.2">
      <c r="A51" s="1">
        <v>46038</v>
      </c>
      <c r="B51">
        <v>0</v>
      </c>
      <c r="C51">
        <v>2</v>
      </c>
      <c r="D51">
        <f t="shared" si="0"/>
        <v>2</v>
      </c>
    </row>
    <row r="52" spans="1:4" x14ac:dyDescent="0.2">
      <c r="A52" s="1">
        <v>46039</v>
      </c>
      <c r="B52">
        <v>1</v>
      </c>
      <c r="C52">
        <v>3</v>
      </c>
      <c r="D52">
        <f t="shared" si="0"/>
        <v>4</v>
      </c>
    </row>
    <row r="53" spans="1:4" x14ac:dyDescent="0.2">
      <c r="A53" s="1">
        <v>46040</v>
      </c>
      <c r="B53">
        <v>2</v>
      </c>
      <c r="C53">
        <v>2</v>
      </c>
      <c r="D53">
        <f t="shared" si="0"/>
        <v>4</v>
      </c>
    </row>
    <row r="54" spans="1:4" x14ac:dyDescent="0.2">
      <c r="A54" s="1">
        <v>46041</v>
      </c>
      <c r="B54">
        <v>1</v>
      </c>
      <c r="C54">
        <v>2</v>
      </c>
      <c r="D54">
        <f t="shared" si="0"/>
        <v>3</v>
      </c>
    </row>
    <row r="55" spans="1:4" x14ac:dyDescent="0.2">
      <c r="A55" s="1">
        <v>46042</v>
      </c>
      <c r="B55">
        <v>1</v>
      </c>
      <c r="C55">
        <v>3</v>
      </c>
      <c r="D55">
        <f t="shared" si="0"/>
        <v>4</v>
      </c>
    </row>
    <row r="56" spans="1:4" x14ac:dyDescent="0.2">
      <c r="A56" s="1">
        <v>46043</v>
      </c>
      <c r="B56">
        <v>4</v>
      </c>
      <c r="C56">
        <v>3</v>
      </c>
      <c r="D56">
        <f t="shared" si="0"/>
        <v>7</v>
      </c>
    </row>
    <row r="57" spans="1:4" x14ac:dyDescent="0.2">
      <c r="A57" s="1">
        <v>46044</v>
      </c>
      <c r="B57">
        <v>3</v>
      </c>
      <c r="C57">
        <v>3</v>
      </c>
      <c r="D57">
        <f t="shared" si="0"/>
        <v>6</v>
      </c>
    </row>
    <row r="58" spans="1:4" x14ac:dyDescent="0.2">
      <c r="A58" s="1">
        <v>46045</v>
      </c>
      <c r="B58">
        <v>4</v>
      </c>
      <c r="C58">
        <v>4</v>
      </c>
      <c r="D58">
        <f t="shared" si="0"/>
        <v>8</v>
      </c>
    </row>
    <row r="59" spans="1:4" x14ac:dyDescent="0.2">
      <c r="A59" s="1">
        <v>46046</v>
      </c>
      <c r="B59">
        <v>4</v>
      </c>
      <c r="C59">
        <v>3</v>
      </c>
      <c r="D59">
        <f t="shared" si="0"/>
        <v>7</v>
      </c>
    </row>
    <row r="60" spans="1:4" x14ac:dyDescent="0.2">
      <c r="A60" s="1">
        <v>46047</v>
      </c>
      <c r="B60">
        <v>5</v>
      </c>
      <c r="C60">
        <v>3</v>
      </c>
      <c r="D60">
        <f t="shared" si="0"/>
        <v>8</v>
      </c>
    </row>
    <row r="61" spans="1:4" x14ac:dyDescent="0.2">
      <c r="A61" s="1">
        <v>46048</v>
      </c>
      <c r="B61">
        <v>4</v>
      </c>
      <c r="C61">
        <v>2</v>
      </c>
      <c r="D61">
        <f t="shared" si="0"/>
        <v>6</v>
      </c>
    </row>
    <row r="62" spans="1:4" x14ac:dyDescent="0.2">
      <c r="A62" s="1">
        <v>46049</v>
      </c>
      <c r="B62">
        <v>1</v>
      </c>
      <c r="C62">
        <v>3</v>
      </c>
      <c r="D62">
        <f t="shared" si="0"/>
        <v>4</v>
      </c>
    </row>
    <row r="63" spans="1:4" x14ac:dyDescent="0.2">
      <c r="A63" s="1">
        <v>46050</v>
      </c>
      <c r="B63">
        <v>1</v>
      </c>
      <c r="C63">
        <v>5</v>
      </c>
      <c r="D63">
        <f t="shared" si="0"/>
        <v>6</v>
      </c>
    </row>
    <row r="64" spans="1:4" x14ac:dyDescent="0.2">
      <c r="A64" s="1">
        <v>46051</v>
      </c>
      <c r="B64">
        <v>3</v>
      </c>
      <c r="C64">
        <v>3</v>
      </c>
      <c r="D64">
        <f t="shared" si="0"/>
        <v>6</v>
      </c>
    </row>
    <row r="65" spans="1:4" x14ac:dyDescent="0.2">
      <c r="A65" s="1">
        <v>46052</v>
      </c>
      <c r="B65">
        <v>1</v>
      </c>
      <c r="C65">
        <v>2</v>
      </c>
      <c r="D65">
        <f t="shared" si="0"/>
        <v>3</v>
      </c>
    </row>
    <row r="66" spans="1:4" x14ac:dyDescent="0.2">
      <c r="A66" s="1">
        <v>46053</v>
      </c>
      <c r="B66">
        <v>3</v>
      </c>
      <c r="C66">
        <v>3</v>
      </c>
      <c r="D66">
        <f t="shared" si="0"/>
        <v>6</v>
      </c>
    </row>
    <row r="67" spans="1:4" x14ac:dyDescent="0.2">
      <c r="A67" s="1">
        <v>46054</v>
      </c>
      <c r="B67">
        <v>1</v>
      </c>
      <c r="C67">
        <v>2</v>
      </c>
      <c r="D67">
        <f t="shared" si="0"/>
        <v>3</v>
      </c>
    </row>
    <row r="68" spans="1:4" x14ac:dyDescent="0.2">
      <c r="A68" s="1">
        <v>46055</v>
      </c>
      <c r="B68">
        <v>1</v>
      </c>
      <c r="C68">
        <v>2</v>
      </c>
      <c r="D68">
        <f t="shared" si="0"/>
        <v>3</v>
      </c>
    </row>
    <row r="69" spans="1:4" x14ac:dyDescent="0.2">
      <c r="A69" s="1">
        <v>46056</v>
      </c>
      <c r="B69">
        <v>2</v>
      </c>
      <c r="C69">
        <v>3</v>
      </c>
      <c r="D69">
        <f t="shared" si="0"/>
        <v>5</v>
      </c>
    </row>
    <row r="70" spans="1:4" x14ac:dyDescent="0.2">
      <c r="A70" s="1">
        <v>46057</v>
      </c>
      <c r="B70">
        <v>2</v>
      </c>
      <c r="C70">
        <v>2</v>
      </c>
      <c r="D70">
        <f t="shared" ref="D70:D123" si="1">SUM(B70:C70)</f>
        <v>4</v>
      </c>
    </row>
    <row r="71" spans="1:4" x14ac:dyDescent="0.2">
      <c r="A71" s="1">
        <v>46058</v>
      </c>
      <c r="B71">
        <v>1</v>
      </c>
      <c r="C71">
        <v>4</v>
      </c>
      <c r="D71">
        <f t="shared" si="1"/>
        <v>5</v>
      </c>
    </row>
    <row r="72" spans="1:4" x14ac:dyDescent="0.2">
      <c r="A72" s="1">
        <v>46059</v>
      </c>
      <c r="B72">
        <v>2</v>
      </c>
      <c r="C72">
        <v>3</v>
      </c>
      <c r="D72">
        <f t="shared" si="1"/>
        <v>5</v>
      </c>
    </row>
    <row r="73" spans="1:4" x14ac:dyDescent="0.2">
      <c r="A73" s="1">
        <v>46060</v>
      </c>
      <c r="B73">
        <v>4</v>
      </c>
      <c r="C73">
        <v>4</v>
      </c>
      <c r="D73">
        <f t="shared" si="1"/>
        <v>8</v>
      </c>
    </row>
    <row r="74" spans="1:4" x14ac:dyDescent="0.2">
      <c r="A74" s="1">
        <v>46061</v>
      </c>
      <c r="B74">
        <v>2</v>
      </c>
      <c r="C74">
        <v>3</v>
      </c>
      <c r="D74">
        <f t="shared" si="1"/>
        <v>5</v>
      </c>
    </row>
    <row r="75" spans="1:4" x14ac:dyDescent="0.2">
      <c r="A75" s="1">
        <v>46062</v>
      </c>
      <c r="B75">
        <v>0</v>
      </c>
      <c r="C75">
        <v>2</v>
      </c>
      <c r="D75">
        <f t="shared" si="1"/>
        <v>2</v>
      </c>
    </row>
    <row r="76" spans="1:4" x14ac:dyDescent="0.2">
      <c r="A76" s="1">
        <v>46063</v>
      </c>
      <c r="B76">
        <v>1</v>
      </c>
      <c r="C76">
        <v>2</v>
      </c>
      <c r="D76">
        <f t="shared" si="1"/>
        <v>3</v>
      </c>
    </row>
    <row r="77" spans="1:4" x14ac:dyDescent="0.2">
      <c r="A77" s="1">
        <v>46064</v>
      </c>
      <c r="B77">
        <v>2</v>
      </c>
      <c r="C77">
        <v>5</v>
      </c>
      <c r="D77">
        <f t="shared" si="1"/>
        <v>7</v>
      </c>
    </row>
    <row r="78" spans="1:4" x14ac:dyDescent="0.2">
      <c r="A78" s="1">
        <v>46065</v>
      </c>
      <c r="B78">
        <v>2</v>
      </c>
      <c r="C78">
        <v>3</v>
      </c>
      <c r="D78">
        <f t="shared" si="1"/>
        <v>5</v>
      </c>
    </row>
    <row r="79" spans="1:4" x14ac:dyDescent="0.2">
      <c r="A79" s="1">
        <v>46066</v>
      </c>
      <c r="B79">
        <v>1</v>
      </c>
      <c r="C79">
        <v>3</v>
      </c>
      <c r="D79">
        <f t="shared" si="1"/>
        <v>4</v>
      </c>
    </row>
    <row r="80" spans="1:4" x14ac:dyDescent="0.2">
      <c r="A80" s="1">
        <v>46067</v>
      </c>
      <c r="B80">
        <v>0</v>
      </c>
      <c r="C80">
        <v>4</v>
      </c>
      <c r="D80">
        <f t="shared" si="1"/>
        <v>4</v>
      </c>
    </row>
    <row r="81" spans="1:4" x14ac:dyDescent="0.2">
      <c r="A81" s="1">
        <v>46068</v>
      </c>
      <c r="B81">
        <v>0</v>
      </c>
      <c r="C81">
        <v>4</v>
      </c>
      <c r="D81">
        <f t="shared" si="1"/>
        <v>4</v>
      </c>
    </row>
    <row r="82" spans="1:4" x14ac:dyDescent="0.2">
      <c r="A82" s="1">
        <v>46069</v>
      </c>
      <c r="B82">
        <v>0</v>
      </c>
      <c r="C82">
        <v>2</v>
      </c>
      <c r="D82">
        <f t="shared" si="1"/>
        <v>2</v>
      </c>
    </row>
    <row r="83" spans="1:4" x14ac:dyDescent="0.2">
      <c r="A83" s="1">
        <v>46070</v>
      </c>
      <c r="B83">
        <v>0</v>
      </c>
      <c r="C83">
        <v>3</v>
      </c>
      <c r="D83">
        <f t="shared" si="1"/>
        <v>3</v>
      </c>
    </row>
    <row r="84" spans="1:4" x14ac:dyDescent="0.2">
      <c r="A84" s="1">
        <v>46071</v>
      </c>
      <c r="B84">
        <v>1</v>
      </c>
      <c r="C84">
        <v>2</v>
      </c>
      <c r="D84">
        <f t="shared" si="1"/>
        <v>3</v>
      </c>
    </row>
    <row r="85" spans="1:4" x14ac:dyDescent="0.2">
      <c r="A85" s="1">
        <v>46072</v>
      </c>
      <c r="B85">
        <v>1</v>
      </c>
      <c r="C85">
        <v>3</v>
      </c>
      <c r="D85">
        <f t="shared" si="1"/>
        <v>4</v>
      </c>
    </row>
    <row r="86" spans="1:4" x14ac:dyDescent="0.2">
      <c r="A86" s="1">
        <v>46073</v>
      </c>
      <c r="B86">
        <v>0</v>
      </c>
      <c r="C86">
        <v>2</v>
      </c>
      <c r="D86">
        <f t="shared" si="1"/>
        <v>2</v>
      </c>
    </row>
    <row r="87" spans="1:4" x14ac:dyDescent="0.2">
      <c r="A87" s="1">
        <v>46074</v>
      </c>
      <c r="B87">
        <v>4</v>
      </c>
      <c r="C87">
        <v>2</v>
      </c>
      <c r="D87">
        <f t="shared" si="1"/>
        <v>6</v>
      </c>
    </row>
    <row r="88" spans="1:4" x14ac:dyDescent="0.2">
      <c r="A88" s="1">
        <v>46075</v>
      </c>
      <c r="B88">
        <v>3</v>
      </c>
      <c r="C88">
        <v>3</v>
      </c>
      <c r="D88">
        <f t="shared" si="1"/>
        <v>6</v>
      </c>
    </row>
    <row r="89" spans="1:4" x14ac:dyDescent="0.2">
      <c r="A89" s="1">
        <v>46076</v>
      </c>
      <c r="B89">
        <v>3</v>
      </c>
      <c r="C89">
        <v>2</v>
      </c>
      <c r="D89">
        <f t="shared" si="1"/>
        <v>5</v>
      </c>
    </row>
    <row r="90" spans="1:4" x14ac:dyDescent="0.2">
      <c r="A90" s="1">
        <v>46077</v>
      </c>
      <c r="B90">
        <v>0</v>
      </c>
      <c r="C90">
        <v>3</v>
      </c>
      <c r="D90">
        <f t="shared" si="1"/>
        <v>3</v>
      </c>
    </row>
    <row r="91" spans="1:4" x14ac:dyDescent="0.2">
      <c r="A91" s="1">
        <v>46078</v>
      </c>
      <c r="B91">
        <v>0</v>
      </c>
      <c r="C91">
        <v>2</v>
      </c>
      <c r="D91">
        <f t="shared" si="1"/>
        <v>2</v>
      </c>
    </row>
    <row r="92" spans="1:4" x14ac:dyDescent="0.2">
      <c r="A92" s="1">
        <v>46079</v>
      </c>
      <c r="B92">
        <v>1</v>
      </c>
      <c r="C92">
        <v>3</v>
      </c>
      <c r="D92">
        <f t="shared" si="1"/>
        <v>4</v>
      </c>
    </row>
    <row r="93" spans="1:4" x14ac:dyDescent="0.2">
      <c r="A93" s="1">
        <v>46080</v>
      </c>
      <c r="B93">
        <v>0</v>
      </c>
      <c r="C93">
        <v>2</v>
      </c>
      <c r="D93">
        <f t="shared" si="1"/>
        <v>2</v>
      </c>
    </row>
    <row r="94" spans="1:4" x14ac:dyDescent="0.2">
      <c r="A94" s="1">
        <v>46081</v>
      </c>
      <c r="B94">
        <v>0</v>
      </c>
      <c r="C94">
        <v>3</v>
      </c>
      <c r="D94">
        <f t="shared" si="1"/>
        <v>3</v>
      </c>
    </row>
    <row r="95" spans="1:4" x14ac:dyDescent="0.2">
      <c r="A95" s="1">
        <v>46082</v>
      </c>
      <c r="B95">
        <v>2</v>
      </c>
      <c r="C95">
        <v>1</v>
      </c>
      <c r="D95">
        <f t="shared" si="1"/>
        <v>3</v>
      </c>
    </row>
    <row r="96" spans="1:4" x14ac:dyDescent="0.2">
      <c r="A96" s="1">
        <v>46083</v>
      </c>
      <c r="B96">
        <v>1</v>
      </c>
      <c r="C96">
        <v>0</v>
      </c>
      <c r="D96">
        <f t="shared" si="1"/>
        <v>1</v>
      </c>
    </row>
    <row r="97" spans="1:4" x14ac:dyDescent="0.2">
      <c r="A97" s="1">
        <v>46084</v>
      </c>
      <c r="B97">
        <v>2</v>
      </c>
      <c r="C97">
        <v>2</v>
      </c>
      <c r="D97">
        <f t="shared" si="1"/>
        <v>4</v>
      </c>
    </row>
    <row r="98" spans="1:4" x14ac:dyDescent="0.2">
      <c r="A98" s="1">
        <v>46085</v>
      </c>
      <c r="B98">
        <v>1</v>
      </c>
      <c r="C98">
        <v>3</v>
      </c>
      <c r="D98">
        <f t="shared" si="1"/>
        <v>4</v>
      </c>
    </row>
    <row r="99" spans="1:4" x14ac:dyDescent="0.2">
      <c r="A99" s="1">
        <v>46086</v>
      </c>
      <c r="B99">
        <v>1</v>
      </c>
      <c r="C99">
        <v>3</v>
      </c>
      <c r="D99">
        <f t="shared" si="1"/>
        <v>4</v>
      </c>
    </row>
    <row r="100" spans="1:4" x14ac:dyDescent="0.2">
      <c r="A100" s="1">
        <v>46087</v>
      </c>
      <c r="B100">
        <v>1</v>
      </c>
      <c r="C100">
        <v>2</v>
      </c>
      <c r="D100">
        <f t="shared" si="1"/>
        <v>3</v>
      </c>
    </row>
    <row r="101" spans="1:4" x14ac:dyDescent="0.2">
      <c r="A101" s="1">
        <v>46088</v>
      </c>
      <c r="B101">
        <v>2</v>
      </c>
      <c r="C101">
        <v>3</v>
      </c>
      <c r="D101">
        <f t="shared" si="1"/>
        <v>5</v>
      </c>
    </row>
    <row r="102" spans="1:4" x14ac:dyDescent="0.2">
      <c r="A102" s="1">
        <v>46089</v>
      </c>
      <c r="B102">
        <v>1</v>
      </c>
      <c r="C102">
        <v>2</v>
      </c>
      <c r="D102">
        <f t="shared" si="1"/>
        <v>3</v>
      </c>
    </row>
    <row r="103" spans="1:4" x14ac:dyDescent="0.2">
      <c r="A103" s="1">
        <v>46090</v>
      </c>
      <c r="B103">
        <v>0</v>
      </c>
      <c r="C103">
        <v>2</v>
      </c>
      <c r="D103">
        <f t="shared" si="1"/>
        <v>2</v>
      </c>
    </row>
    <row r="104" spans="1:4" x14ac:dyDescent="0.2">
      <c r="A104" s="1">
        <v>46091</v>
      </c>
      <c r="B104">
        <v>1</v>
      </c>
      <c r="C104">
        <v>2</v>
      </c>
      <c r="D104">
        <f t="shared" si="1"/>
        <v>3</v>
      </c>
    </row>
    <row r="105" spans="1:4" x14ac:dyDescent="0.2">
      <c r="A105" s="1">
        <v>46092</v>
      </c>
      <c r="B105">
        <v>0</v>
      </c>
      <c r="C105">
        <v>3</v>
      </c>
      <c r="D105">
        <f t="shared" si="1"/>
        <v>3</v>
      </c>
    </row>
    <row r="106" spans="1:4" x14ac:dyDescent="0.2">
      <c r="A106" s="1">
        <v>46093</v>
      </c>
      <c r="B106">
        <v>0</v>
      </c>
      <c r="C106">
        <v>2</v>
      </c>
      <c r="D106">
        <f t="shared" si="1"/>
        <v>2</v>
      </c>
    </row>
    <row r="107" spans="1:4" x14ac:dyDescent="0.2">
      <c r="A107" s="1">
        <v>46094</v>
      </c>
      <c r="B107">
        <v>0</v>
      </c>
      <c r="C107">
        <v>3</v>
      </c>
      <c r="D107">
        <f t="shared" si="1"/>
        <v>3</v>
      </c>
    </row>
    <row r="108" spans="1:4" x14ac:dyDescent="0.2">
      <c r="A108" s="1">
        <v>46095</v>
      </c>
      <c r="B108">
        <v>1</v>
      </c>
      <c r="C108">
        <v>2</v>
      </c>
      <c r="D108">
        <f t="shared" si="1"/>
        <v>3</v>
      </c>
    </row>
    <row r="109" spans="1:4" x14ac:dyDescent="0.2">
      <c r="A109" s="1">
        <v>46096</v>
      </c>
      <c r="B109">
        <v>0</v>
      </c>
      <c r="C109">
        <v>2</v>
      </c>
      <c r="D109">
        <f t="shared" si="1"/>
        <v>2</v>
      </c>
    </row>
    <row r="110" spans="1:4" x14ac:dyDescent="0.2">
      <c r="A110" s="1">
        <v>46097</v>
      </c>
      <c r="B110">
        <v>0</v>
      </c>
      <c r="C110">
        <v>2</v>
      </c>
      <c r="D110">
        <f t="shared" si="1"/>
        <v>2</v>
      </c>
    </row>
    <row r="111" spans="1:4" x14ac:dyDescent="0.2">
      <c r="A111" s="1">
        <v>46098</v>
      </c>
      <c r="B111">
        <v>0</v>
      </c>
      <c r="C111">
        <v>2</v>
      </c>
      <c r="D111">
        <f t="shared" si="1"/>
        <v>2</v>
      </c>
    </row>
    <row r="112" spans="1:4" x14ac:dyDescent="0.2">
      <c r="A112" s="1">
        <v>46099</v>
      </c>
      <c r="B112">
        <v>1</v>
      </c>
      <c r="C112">
        <v>2</v>
      </c>
      <c r="D112">
        <f t="shared" si="1"/>
        <v>3</v>
      </c>
    </row>
    <row r="113" spans="1:4" x14ac:dyDescent="0.2">
      <c r="A113" s="1">
        <v>46100</v>
      </c>
      <c r="B113">
        <v>1</v>
      </c>
      <c r="C113">
        <v>3</v>
      </c>
      <c r="D113">
        <f t="shared" si="1"/>
        <v>4</v>
      </c>
    </row>
    <row r="114" spans="1:4" x14ac:dyDescent="0.2">
      <c r="A114" s="1">
        <v>46101</v>
      </c>
      <c r="B114">
        <v>0</v>
      </c>
      <c r="C114">
        <v>2</v>
      </c>
      <c r="D114">
        <f t="shared" si="1"/>
        <v>2</v>
      </c>
    </row>
    <row r="115" spans="1:4" x14ac:dyDescent="0.2">
      <c r="A115" s="1">
        <v>46102</v>
      </c>
      <c r="B115">
        <v>0</v>
      </c>
      <c r="C115">
        <v>2</v>
      </c>
      <c r="D115">
        <f t="shared" si="1"/>
        <v>2</v>
      </c>
    </row>
    <row r="116" spans="1:4" x14ac:dyDescent="0.2">
      <c r="A116" s="1">
        <v>46103</v>
      </c>
      <c r="B116">
        <v>0</v>
      </c>
      <c r="C116">
        <v>2</v>
      </c>
      <c r="D116">
        <f t="shared" si="1"/>
        <v>2</v>
      </c>
    </row>
    <row r="117" spans="1:4" x14ac:dyDescent="0.2">
      <c r="A117" s="1">
        <v>46104</v>
      </c>
      <c r="B117">
        <v>1</v>
      </c>
      <c r="C117">
        <v>3</v>
      </c>
      <c r="D117">
        <f t="shared" si="1"/>
        <v>4</v>
      </c>
    </row>
    <row r="118" spans="1:4" x14ac:dyDescent="0.2">
      <c r="A118" s="1">
        <v>46105</v>
      </c>
      <c r="B118">
        <v>0</v>
      </c>
      <c r="C118">
        <v>2</v>
      </c>
      <c r="D118">
        <f t="shared" si="1"/>
        <v>2</v>
      </c>
    </row>
    <row r="119" spans="1:4" x14ac:dyDescent="0.2">
      <c r="A119" s="1">
        <v>46106</v>
      </c>
      <c r="B119">
        <v>2</v>
      </c>
      <c r="C119">
        <v>2</v>
      </c>
      <c r="D119">
        <f t="shared" si="1"/>
        <v>4</v>
      </c>
    </row>
    <row r="120" spans="1:4" x14ac:dyDescent="0.2">
      <c r="A120" s="1">
        <v>46107</v>
      </c>
      <c r="B120">
        <v>2</v>
      </c>
      <c r="C120">
        <v>2</v>
      </c>
      <c r="D120">
        <f t="shared" si="1"/>
        <v>4</v>
      </c>
    </row>
    <row r="121" spans="1:4" x14ac:dyDescent="0.2">
      <c r="A121" s="1">
        <v>46108</v>
      </c>
      <c r="B121">
        <v>1</v>
      </c>
      <c r="C121">
        <v>3</v>
      </c>
      <c r="D121">
        <f t="shared" si="1"/>
        <v>4</v>
      </c>
    </row>
    <row r="122" spans="1:4" x14ac:dyDescent="0.2">
      <c r="A122" s="1">
        <v>46109</v>
      </c>
      <c r="B122">
        <v>2</v>
      </c>
      <c r="C122">
        <v>2</v>
      </c>
      <c r="D122">
        <f t="shared" si="1"/>
        <v>4</v>
      </c>
    </row>
    <row r="123" spans="1:4" x14ac:dyDescent="0.2">
      <c r="A123" s="1">
        <v>46110</v>
      </c>
      <c r="B123">
        <v>0</v>
      </c>
      <c r="C123">
        <v>2</v>
      </c>
      <c r="D123">
        <f t="shared" si="1"/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788-0182-C446-91FA-D86185AF7F82}">
  <dimension ref="A1:H126"/>
  <sheetViews>
    <sheetView topLeftCell="E12" zoomScale="150" zoomScaleNormal="49" workbookViewId="0">
      <selection activeCell="G35" sqref="G35"/>
    </sheetView>
  </sheetViews>
  <sheetFormatPr baseColWidth="10" defaultRowHeight="16" x14ac:dyDescent="0.2"/>
  <cols>
    <col min="1" max="1" width="11" bestFit="1" customWidth="1"/>
    <col min="2" max="2" width="11.6640625" style="12" bestFit="1" customWidth="1"/>
    <col min="3" max="3" width="11.6640625" style="3" bestFit="1" customWidth="1"/>
    <col min="4" max="4" width="16" style="1" bestFit="1" customWidth="1"/>
    <col min="5" max="5" width="11" bestFit="1" customWidth="1"/>
  </cols>
  <sheetData>
    <row r="1" spans="1:8" x14ac:dyDescent="0.2">
      <c r="A1" s="4" t="s">
        <v>37</v>
      </c>
      <c r="B1" s="10" t="s">
        <v>38</v>
      </c>
      <c r="C1" s="7" t="s">
        <v>38</v>
      </c>
      <c r="D1" s="1" t="s">
        <v>39</v>
      </c>
      <c r="E1" s="1" t="s">
        <v>40</v>
      </c>
      <c r="F1" s="1" t="s">
        <v>127</v>
      </c>
    </row>
    <row r="2" spans="1:8" x14ac:dyDescent="0.2">
      <c r="A2" s="5">
        <v>45989</v>
      </c>
      <c r="B2" s="11">
        <v>22648</v>
      </c>
      <c r="C2" s="8">
        <v>22648</v>
      </c>
      <c r="D2" s="3">
        <f>AVERAGE(C36:C66)</f>
        <v>87248.290322580651</v>
      </c>
      <c r="E2" s="3">
        <f>AVERAGE(C67:C94)</f>
        <v>28986.392857142859</v>
      </c>
      <c r="F2" s="3">
        <f>AVERAGE(C95:C124)</f>
        <v>12265.766666666666</v>
      </c>
    </row>
    <row r="3" spans="1:8" x14ac:dyDescent="0.2">
      <c r="A3" s="5">
        <v>45990</v>
      </c>
      <c r="B3" s="11">
        <v>17590</v>
      </c>
      <c r="C3" s="8">
        <v>17590</v>
      </c>
    </row>
    <row r="4" spans="1:8" x14ac:dyDescent="0.2">
      <c r="A4" s="5">
        <v>45991</v>
      </c>
      <c r="B4" s="11">
        <v>23611</v>
      </c>
      <c r="C4" s="8">
        <v>23611</v>
      </c>
      <c r="H4" s="13" t="s">
        <v>102</v>
      </c>
    </row>
    <row r="5" spans="1:8" x14ac:dyDescent="0.2">
      <c r="A5" s="5">
        <v>45992</v>
      </c>
      <c r="B5" s="11">
        <v>69299</v>
      </c>
      <c r="C5" s="8">
        <v>69299</v>
      </c>
      <c r="H5" s="13" t="s">
        <v>103</v>
      </c>
    </row>
    <row r="6" spans="1:8" x14ac:dyDescent="0.2">
      <c r="A6" s="5">
        <v>45993</v>
      </c>
      <c r="B6" s="11">
        <v>49006</v>
      </c>
      <c r="C6" s="8">
        <v>49006</v>
      </c>
      <c r="H6" s="13" t="s">
        <v>104</v>
      </c>
    </row>
    <row r="7" spans="1:8" x14ac:dyDescent="0.2">
      <c r="A7" s="5">
        <v>45994</v>
      </c>
      <c r="B7" s="11">
        <v>60593</v>
      </c>
      <c r="C7" s="8">
        <v>60593</v>
      </c>
      <c r="H7" s="13" t="s">
        <v>105</v>
      </c>
    </row>
    <row r="8" spans="1:8" x14ac:dyDescent="0.2">
      <c r="A8" s="5">
        <v>45995</v>
      </c>
      <c r="B8" s="11">
        <v>112498</v>
      </c>
      <c r="C8" s="8">
        <v>112498</v>
      </c>
      <c r="H8" s="13" t="s">
        <v>106</v>
      </c>
    </row>
    <row r="9" spans="1:8" x14ac:dyDescent="0.2">
      <c r="A9" s="5">
        <v>45996</v>
      </c>
      <c r="B9" s="11">
        <v>145294</v>
      </c>
      <c r="C9" s="8">
        <v>145294</v>
      </c>
      <c r="H9" s="14">
        <v>1</v>
      </c>
    </row>
    <row r="10" spans="1:8" x14ac:dyDescent="0.2">
      <c r="A10" s="5">
        <v>45997</v>
      </c>
      <c r="B10" s="11">
        <v>78938</v>
      </c>
      <c r="C10" s="8">
        <v>78938</v>
      </c>
      <c r="H10" s="13" t="s">
        <v>107</v>
      </c>
    </row>
    <row r="11" spans="1:8" x14ac:dyDescent="0.2">
      <c r="A11" s="5">
        <v>45998</v>
      </c>
      <c r="B11" s="11">
        <v>56748</v>
      </c>
      <c r="C11" s="8">
        <v>56748</v>
      </c>
      <c r="H11" s="14" t="s">
        <v>108</v>
      </c>
    </row>
    <row r="12" spans="1:8" x14ac:dyDescent="0.2">
      <c r="A12" s="5">
        <v>45999</v>
      </c>
      <c r="B12" s="11">
        <v>69137</v>
      </c>
      <c r="C12" s="8">
        <v>69137</v>
      </c>
    </row>
    <row r="13" spans="1:8" x14ac:dyDescent="0.2">
      <c r="A13" s="5">
        <v>46000</v>
      </c>
      <c r="B13" s="11">
        <v>152198</v>
      </c>
      <c r="C13" s="8">
        <v>152198</v>
      </c>
    </row>
    <row r="14" spans="1:8" x14ac:dyDescent="0.2">
      <c r="A14" s="5">
        <v>46001</v>
      </c>
      <c r="B14" s="11">
        <v>85363</v>
      </c>
      <c r="C14" s="8">
        <v>85363</v>
      </c>
    </row>
    <row r="15" spans="1:8" x14ac:dyDescent="0.2">
      <c r="A15" s="5">
        <v>46002</v>
      </c>
      <c r="B15" s="11">
        <v>114782</v>
      </c>
      <c r="C15" s="8">
        <v>114782</v>
      </c>
    </row>
    <row r="16" spans="1:8" x14ac:dyDescent="0.2">
      <c r="A16" s="5">
        <v>46003</v>
      </c>
      <c r="B16" s="11">
        <v>214832</v>
      </c>
      <c r="C16" s="8">
        <v>214832</v>
      </c>
    </row>
    <row r="17" spans="1:3" x14ac:dyDescent="0.2">
      <c r="A17" s="5">
        <v>46004</v>
      </c>
      <c r="B17" s="11">
        <v>195632</v>
      </c>
      <c r="C17" s="8">
        <v>195632</v>
      </c>
    </row>
    <row r="18" spans="1:3" x14ac:dyDescent="0.2">
      <c r="A18" s="5">
        <v>46005</v>
      </c>
      <c r="B18" s="11">
        <v>123899</v>
      </c>
      <c r="C18" s="8">
        <v>123899</v>
      </c>
    </row>
    <row r="19" spans="1:3" x14ac:dyDescent="0.2">
      <c r="A19" s="5">
        <v>46006</v>
      </c>
      <c r="B19" s="11">
        <v>146727</v>
      </c>
      <c r="C19" s="8">
        <v>146727</v>
      </c>
    </row>
    <row r="20" spans="1:3" x14ac:dyDescent="0.2">
      <c r="A20" s="5">
        <v>46007</v>
      </c>
      <c r="B20" s="11">
        <v>157910</v>
      </c>
      <c r="C20" s="8">
        <v>157910</v>
      </c>
    </row>
    <row r="21" spans="1:3" x14ac:dyDescent="0.2">
      <c r="A21" s="5">
        <v>46008</v>
      </c>
      <c r="B21" s="11">
        <v>188576</v>
      </c>
      <c r="C21" s="8">
        <v>188576</v>
      </c>
    </row>
    <row r="22" spans="1:3" x14ac:dyDescent="0.2">
      <c r="A22" s="5">
        <v>46009</v>
      </c>
      <c r="B22" s="11">
        <v>162736</v>
      </c>
      <c r="C22" s="8">
        <v>162736</v>
      </c>
    </row>
    <row r="23" spans="1:3" x14ac:dyDescent="0.2">
      <c r="A23" s="5">
        <v>46010</v>
      </c>
      <c r="B23" s="11">
        <v>143269</v>
      </c>
      <c r="C23" s="8">
        <v>143269</v>
      </c>
    </row>
    <row r="24" spans="1:3" x14ac:dyDescent="0.2">
      <c r="A24" s="5">
        <v>46011</v>
      </c>
      <c r="B24" s="11">
        <v>151478</v>
      </c>
      <c r="C24" s="8">
        <v>151478</v>
      </c>
    </row>
    <row r="25" spans="1:3" x14ac:dyDescent="0.2">
      <c r="A25" s="5">
        <v>46012</v>
      </c>
      <c r="B25" s="11">
        <v>104644</v>
      </c>
      <c r="C25" s="8">
        <v>104644</v>
      </c>
    </row>
    <row r="26" spans="1:3" x14ac:dyDescent="0.2">
      <c r="A26" s="5">
        <v>46013</v>
      </c>
      <c r="B26" s="11">
        <v>158335</v>
      </c>
      <c r="C26" s="8">
        <v>158335</v>
      </c>
    </row>
    <row r="27" spans="1:3" x14ac:dyDescent="0.2">
      <c r="A27" s="5">
        <v>46014</v>
      </c>
      <c r="B27" s="11">
        <v>157511</v>
      </c>
      <c r="C27" s="8">
        <v>157511</v>
      </c>
    </row>
    <row r="28" spans="1:3" x14ac:dyDescent="0.2">
      <c r="A28" s="5">
        <v>46015</v>
      </c>
      <c r="B28" s="11">
        <v>98678</v>
      </c>
      <c r="C28" s="8">
        <v>98678</v>
      </c>
    </row>
    <row r="29" spans="1:3" x14ac:dyDescent="0.2">
      <c r="A29" s="5">
        <v>46016</v>
      </c>
      <c r="B29" s="11">
        <v>123027</v>
      </c>
      <c r="C29" s="8">
        <v>123027</v>
      </c>
    </row>
    <row r="30" spans="1:3" x14ac:dyDescent="0.2">
      <c r="A30" s="5">
        <v>46017</v>
      </c>
      <c r="B30" s="11">
        <v>125760</v>
      </c>
      <c r="C30" s="8">
        <v>125760</v>
      </c>
    </row>
    <row r="31" spans="1:3" x14ac:dyDescent="0.2">
      <c r="A31" s="5">
        <v>46018</v>
      </c>
      <c r="B31" s="11">
        <v>93906</v>
      </c>
      <c r="C31" s="8">
        <v>93906</v>
      </c>
    </row>
    <row r="32" spans="1:3" x14ac:dyDescent="0.2">
      <c r="A32" s="5">
        <v>46019</v>
      </c>
      <c r="B32" s="11">
        <v>130414</v>
      </c>
      <c r="C32" s="8">
        <v>130414</v>
      </c>
    </row>
    <row r="33" spans="1:3" x14ac:dyDescent="0.2">
      <c r="A33" s="5">
        <v>46020</v>
      </c>
      <c r="B33" s="11">
        <v>144820</v>
      </c>
      <c r="C33" s="8">
        <v>144820</v>
      </c>
    </row>
    <row r="34" spans="1:3" x14ac:dyDescent="0.2">
      <c r="A34" s="5">
        <v>46021</v>
      </c>
      <c r="B34" s="11">
        <v>128497</v>
      </c>
      <c r="C34" s="8">
        <v>128497</v>
      </c>
    </row>
    <row r="35" spans="1:3" x14ac:dyDescent="0.2">
      <c r="A35" s="5">
        <v>46022</v>
      </c>
      <c r="B35" s="11">
        <v>103497</v>
      </c>
      <c r="C35" s="8">
        <v>103497</v>
      </c>
    </row>
    <row r="36" spans="1:3" x14ac:dyDescent="0.2">
      <c r="A36" s="5">
        <v>46023</v>
      </c>
      <c r="B36" s="11">
        <v>115365</v>
      </c>
      <c r="C36" s="8">
        <v>115365</v>
      </c>
    </row>
    <row r="37" spans="1:3" x14ac:dyDescent="0.2">
      <c r="A37" s="5">
        <v>46024</v>
      </c>
      <c r="B37" s="11">
        <v>112470</v>
      </c>
      <c r="C37" s="8">
        <v>112470</v>
      </c>
    </row>
    <row r="38" spans="1:3" x14ac:dyDescent="0.2">
      <c r="A38" s="5">
        <v>46025</v>
      </c>
      <c r="B38" s="11">
        <v>87273</v>
      </c>
      <c r="C38" s="8">
        <v>87273</v>
      </c>
    </row>
    <row r="39" spans="1:3" x14ac:dyDescent="0.2">
      <c r="A39" s="5">
        <v>46026</v>
      </c>
      <c r="B39" s="11">
        <v>91899</v>
      </c>
      <c r="C39" s="8">
        <v>91899</v>
      </c>
    </row>
    <row r="40" spans="1:3" x14ac:dyDescent="0.2">
      <c r="A40" s="5">
        <v>46027</v>
      </c>
      <c r="B40" s="11">
        <v>127081</v>
      </c>
      <c r="C40" s="8">
        <v>127081</v>
      </c>
    </row>
    <row r="41" spans="1:3" x14ac:dyDescent="0.2">
      <c r="A41" s="5">
        <v>46028</v>
      </c>
      <c r="B41" s="11">
        <v>118923</v>
      </c>
      <c r="C41" s="8">
        <v>118923</v>
      </c>
    </row>
    <row r="42" spans="1:3" x14ac:dyDescent="0.2">
      <c r="A42" s="5">
        <v>46029</v>
      </c>
      <c r="B42" s="11">
        <v>146196</v>
      </c>
      <c r="C42" s="8">
        <v>146196</v>
      </c>
    </row>
    <row r="43" spans="1:3" x14ac:dyDescent="0.2">
      <c r="A43" s="5">
        <v>46030</v>
      </c>
      <c r="B43" s="11">
        <v>131943</v>
      </c>
      <c r="C43" s="8">
        <v>131943</v>
      </c>
    </row>
    <row r="44" spans="1:3" x14ac:dyDescent="0.2">
      <c r="A44" s="5">
        <v>46031</v>
      </c>
      <c r="B44" s="11">
        <v>87911</v>
      </c>
      <c r="C44" s="8">
        <v>87911</v>
      </c>
    </row>
    <row r="45" spans="1:3" x14ac:dyDescent="0.2">
      <c r="A45" s="5">
        <v>46032</v>
      </c>
      <c r="B45" s="11">
        <v>129350</v>
      </c>
      <c r="C45" s="8">
        <v>129350</v>
      </c>
    </row>
    <row r="46" spans="1:3" x14ac:dyDescent="0.2">
      <c r="A46" s="5">
        <v>46033</v>
      </c>
      <c r="B46" s="11">
        <v>87163</v>
      </c>
      <c r="C46" s="8">
        <v>87163</v>
      </c>
    </row>
    <row r="47" spans="1:3" x14ac:dyDescent="0.2">
      <c r="A47" s="5">
        <v>46034</v>
      </c>
      <c r="B47" s="11">
        <v>72633</v>
      </c>
      <c r="C47" s="8">
        <v>72633</v>
      </c>
    </row>
    <row r="48" spans="1:3" x14ac:dyDescent="0.2">
      <c r="A48" s="5">
        <v>46035</v>
      </c>
      <c r="B48" s="11">
        <v>95455</v>
      </c>
      <c r="C48" s="8">
        <v>95455</v>
      </c>
    </row>
    <row r="49" spans="1:6" x14ac:dyDescent="0.2">
      <c r="A49" s="5">
        <v>46036</v>
      </c>
      <c r="B49" s="11">
        <v>117061</v>
      </c>
      <c r="C49" s="8">
        <v>117061</v>
      </c>
    </row>
    <row r="50" spans="1:6" x14ac:dyDescent="0.2">
      <c r="A50" s="5">
        <v>46037</v>
      </c>
      <c r="B50" s="11">
        <v>77079</v>
      </c>
      <c r="C50" s="8">
        <v>77079</v>
      </c>
    </row>
    <row r="51" spans="1:6" x14ac:dyDescent="0.2">
      <c r="A51" s="5">
        <v>46038</v>
      </c>
      <c r="B51" s="11">
        <v>82669</v>
      </c>
      <c r="C51" s="8">
        <v>82669</v>
      </c>
    </row>
    <row r="52" spans="1:6" x14ac:dyDescent="0.2">
      <c r="A52" s="5">
        <v>46039</v>
      </c>
      <c r="B52" s="11">
        <v>74776</v>
      </c>
      <c r="C52" s="8">
        <v>74776</v>
      </c>
    </row>
    <row r="53" spans="1:6" x14ac:dyDescent="0.2">
      <c r="A53" s="5">
        <v>46040</v>
      </c>
      <c r="B53" s="11">
        <v>90533</v>
      </c>
      <c r="C53" s="8">
        <v>90533</v>
      </c>
    </row>
    <row r="54" spans="1:6" x14ac:dyDescent="0.2">
      <c r="A54" s="5">
        <v>46041</v>
      </c>
      <c r="B54" s="11">
        <v>64761</v>
      </c>
      <c r="C54" s="8">
        <v>64761</v>
      </c>
    </row>
    <row r="55" spans="1:6" x14ac:dyDescent="0.2">
      <c r="A55" s="5">
        <v>46042</v>
      </c>
      <c r="B55" s="11">
        <v>70712</v>
      </c>
      <c r="C55" s="8">
        <v>70712</v>
      </c>
    </row>
    <row r="56" spans="1:6" x14ac:dyDescent="0.2">
      <c r="A56" s="5">
        <v>46043</v>
      </c>
      <c r="B56" s="11">
        <v>91045</v>
      </c>
      <c r="C56" s="8">
        <v>91045</v>
      </c>
    </row>
    <row r="57" spans="1:6" x14ac:dyDescent="0.2">
      <c r="A57" s="5">
        <v>46044</v>
      </c>
      <c r="B57" s="11">
        <v>122687</v>
      </c>
      <c r="C57" s="8">
        <v>122687</v>
      </c>
    </row>
    <row r="58" spans="1:6" x14ac:dyDescent="0.2">
      <c r="A58" s="5">
        <v>46045</v>
      </c>
      <c r="B58" s="11">
        <v>55661</v>
      </c>
      <c r="C58" s="8">
        <v>55661</v>
      </c>
      <c r="F58">
        <f>+F30</f>
        <v>0</v>
      </c>
    </row>
    <row r="59" spans="1:6" x14ac:dyDescent="0.2">
      <c r="A59" s="5">
        <v>46046</v>
      </c>
      <c r="B59" s="11">
        <v>69876</v>
      </c>
      <c r="C59" s="8">
        <v>69876</v>
      </c>
    </row>
    <row r="60" spans="1:6" x14ac:dyDescent="0.2">
      <c r="A60" s="5">
        <v>46047</v>
      </c>
      <c r="B60" s="11">
        <v>51679</v>
      </c>
      <c r="C60" s="8">
        <v>51679</v>
      </c>
    </row>
    <row r="61" spans="1:6" x14ac:dyDescent="0.2">
      <c r="A61" s="5">
        <v>46048</v>
      </c>
      <c r="B61" s="11">
        <v>49703</v>
      </c>
      <c r="C61" s="8">
        <v>49703</v>
      </c>
    </row>
    <row r="62" spans="1:6" x14ac:dyDescent="0.2">
      <c r="A62" s="5">
        <v>46049</v>
      </c>
      <c r="B62" s="11">
        <v>40681</v>
      </c>
      <c r="C62" s="8">
        <v>40681</v>
      </c>
    </row>
    <row r="63" spans="1:6" x14ac:dyDescent="0.2">
      <c r="A63" s="5">
        <v>46050</v>
      </c>
      <c r="B63" s="11">
        <v>94663</v>
      </c>
      <c r="C63" s="8">
        <v>94663</v>
      </c>
    </row>
    <row r="64" spans="1:6" x14ac:dyDescent="0.2">
      <c r="A64" s="5">
        <v>46051</v>
      </c>
      <c r="B64" s="11">
        <v>48741</v>
      </c>
      <c r="C64" s="8">
        <v>48741</v>
      </c>
    </row>
    <row r="65" spans="1:3" x14ac:dyDescent="0.2">
      <c r="A65" s="5">
        <v>46052</v>
      </c>
      <c r="B65" s="11">
        <v>27903</v>
      </c>
      <c r="C65" s="8">
        <v>27903</v>
      </c>
    </row>
    <row r="66" spans="1:3" x14ac:dyDescent="0.2">
      <c r="A66" s="5">
        <v>46053</v>
      </c>
      <c r="B66" s="11">
        <v>70805</v>
      </c>
      <c r="C66" s="8">
        <v>70805</v>
      </c>
    </row>
    <row r="67" spans="1:3" x14ac:dyDescent="0.2">
      <c r="A67" s="5">
        <v>46054</v>
      </c>
      <c r="B67" s="11">
        <v>42561</v>
      </c>
      <c r="C67" s="8">
        <v>42561</v>
      </c>
    </row>
    <row r="68" spans="1:3" x14ac:dyDescent="0.2">
      <c r="A68" s="5">
        <v>46055</v>
      </c>
      <c r="B68" s="11">
        <v>34732</v>
      </c>
      <c r="C68" s="8">
        <v>34732</v>
      </c>
    </row>
    <row r="69" spans="1:3" x14ac:dyDescent="0.2">
      <c r="A69" s="5">
        <v>46056</v>
      </c>
      <c r="B69" s="11">
        <v>101341</v>
      </c>
      <c r="C69" s="8">
        <v>101341</v>
      </c>
    </row>
    <row r="70" spans="1:3" x14ac:dyDescent="0.2">
      <c r="A70" s="5">
        <v>46057</v>
      </c>
      <c r="B70" s="11">
        <v>50960</v>
      </c>
      <c r="C70" s="8">
        <v>50960</v>
      </c>
    </row>
    <row r="71" spans="1:3" x14ac:dyDescent="0.2">
      <c r="A71" s="5">
        <v>46058</v>
      </c>
      <c r="B71" s="11">
        <v>67043</v>
      </c>
      <c r="C71" s="8">
        <v>67043</v>
      </c>
    </row>
    <row r="72" spans="1:3" x14ac:dyDescent="0.2">
      <c r="A72" s="5">
        <v>46059</v>
      </c>
      <c r="B72" s="11">
        <v>74932</v>
      </c>
      <c r="C72" s="8">
        <v>74932</v>
      </c>
    </row>
    <row r="73" spans="1:3" x14ac:dyDescent="0.2">
      <c r="A73" s="5">
        <v>46060</v>
      </c>
      <c r="B73" s="11">
        <v>36460</v>
      </c>
      <c r="C73" s="8">
        <v>36460</v>
      </c>
    </row>
    <row r="74" spans="1:3" x14ac:dyDescent="0.2">
      <c r="A74" s="5">
        <v>46061</v>
      </c>
      <c r="B74" s="11">
        <v>12204</v>
      </c>
      <c r="C74" s="8">
        <v>12204</v>
      </c>
    </row>
    <row r="75" spans="1:3" x14ac:dyDescent="0.2">
      <c r="A75" s="5">
        <v>46062</v>
      </c>
      <c r="B75" s="11">
        <v>10186</v>
      </c>
      <c r="C75" s="8">
        <v>10186</v>
      </c>
    </row>
    <row r="76" spans="1:3" x14ac:dyDescent="0.2">
      <c r="A76" s="5">
        <v>46063</v>
      </c>
      <c r="B76" s="11">
        <v>21000</v>
      </c>
      <c r="C76" s="8">
        <v>21000</v>
      </c>
    </row>
    <row r="77" spans="1:3" x14ac:dyDescent="0.2">
      <c r="A77" s="5">
        <v>46064</v>
      </c>
      <c r="B77" s="11">
        <v>50204</v>
      </c>
      <c r="C77" s="8">
        <v>50204</v>
      </c>
    </row>
    <row r="78" spans="1:3" x14ac:dyDescent="0.2">
      <c r="A78" s="5">
        <v>46065</v>
      </c>
      <c r="B78" s="11">
        <v>19383</v>
      </c>
      <c r="C78" s="8">
        <v>19383</v>
      </c>
    </row>
    <row r="79" spans="1:3" x14ac:dyDescent="0.2">
      <c r="A79" s="5">
        <v>46066</v>
      </c>
      <c r="B79" s="11">
        <v>15880</v>
      </c>
      <c r="C79" s="8">
        <v>15880</v>
      </c>
    </row>
    <row r="80" spans="1:3" x14ac:dyDescent="0.2">
      <c r="A80" s="5">
        <v>46067</v>
      </c>
      <c r="B80" s="11">
        <v>49916</v>
      </c>
      <c r="C80" s="8">
        <v>49916</v>
      </c>
    </row>
    <row r="81" spans="1:3" x14ac:dyDescent="0.2">
      <c r="A81" s="5">
        <v>46068</v>
      </c>
      <c r="B81" s="11">
        <v>18125</v>
      </c>
      <c r="C81" s="8">
        <v>18125</v>
      </c>
    </row>
    <row r="82" spans="1:3" x14ac:dyDescent="0.2">
      <c r="A82" s="5">
        <v>46069</v>
      </c>
      <c r="B82" s="11">
        <v>2448</v>
      </c>
      <c r="C82" s="8">
        <v>2448</v>
      </c>
    </row>
    <row r="83" spans="1:3" x14ac:dyDescent="0.2">
      <c r="A83" s="5">
        <v>46070</v>
      </c>
      <c r="B83" s="11">
        <v>32959</v>
      </c>
      <c r="C83" s="8">
        <v>32959</v>
      </c>
    </row>
    <row r="84" spans="1:3" x14ac:dyDescent="0.2">
      <c r="A84" s="5">
        <v>46071</v>
      </c>
      <c r="B84" s="11">
        <v>6177</v>
      </c>
      <c r="C84" s="8">
        <v>6177</v>
      </c>
    </row>
    <row r="85" spans="1:3" x14ac:dyDescent="0.2">
      <c r="A85" s="5">
        <v>46072</v>
      </c>
      <c r="B85" s="11">
        <v>17316</v>
      </c>
      <c r="C85" s="8">
        <v>17316</v>
      </c>
    </row>
    <row r="86" spans="1:3" x14ac:dyDescent="0.2">
      <c r="A86" s="5">
        <v>46073</v>
      </c>
      <c r="B86" s="11">
        <v>2976</v>
      </c>
      <c r="C86" s="8">
        <v>2976</v>
      </c>
    </row>
    <row r="87" spans="1:3" x14ac:dyDescent="0.2">
      <c r="A87" s="5">
        <v>46074</v>
      </c>
      <c r="B87" s="11">
        <v>26099</v>
      </c>
      <c r="C87" s="8">
        <v>26099</v>
      </c>
    </row>
    <row r="88" spans="1:3" x14ac:dyDescent="0.2">
      <c r="A88" s="5">
        <v>46075</v>
      </c>
      <c r="B88" s="11">
        <v>17702</v>
      </c>
      <c r="C88" s="8">
        <v>17702</v>
      </c>
    </row>
    <row r="89" spans="1:3" x14ac:dyDescent="0.2">
      <c r="A89" s="5">
        <v>46076</v>
      </c>
      <c r="B89" s="11">
        <v>30698</v>
      </c>
      <c r="C89" s="8">
        <v>30698</v>
      </c>
    </row>
    <row r="90" spans="1:3" x14ac:dyDescent="0.2">
      <c r="A90" s="5">
        <v>46077</v>
      </c>
      <c r="B90" s="11">
        <v>8495</v>
      </c>
      <c r="C90" s="8">
        <v>8495</v>
      </c>
    </row>
    <row r="91" spans="1:3" x14ac:dyDescent="0.2">
      <c r="A91" s="5">
        <v>46078</v>
      </c>
      <c r="B91" s="11">
        <v>3285</v>
      </c>
      <c r="C91" s="8">
        <v>3285</v>
      </c>
    </row>
    <row r="92" spans="1:3" x14ac:dyDescent="0.2">
      <c r="A92" s="5">
        <v>46079</v>
      </c>
      <c r="B92" s="11">
        <v>15993</v>
      </c>
      <c r="C92" s="8">
        <v>15993</v>
      </c>
    </row>
    <row r="93" spans="1:3" x14ac:dyDescent="0.2">
      <c r="A93" s="5">
        <v>46080</v>
      </c>
      <c r="B93" s="11">
        <v>4513</v>
      </c>
      <c r="C93" s="8">
        <v>4513</v>
      </c>
    </row>
    <row r="94" spans="1:3" x14ac:dyDescent="0.2">
      <c r="A94" s="5">
        <v>46081</v>
      </c>
      <c r="B94" s="11">
        <v>38031</v>
      </c>
      <c r="C94" s="8">
        <v>38031</v>
      </c>
    </row>
    <row r="95" spans="1:3" x14ac:dyDescent="0.2">
      <c r="A95" s="5">
        <v>46082</v>
      </c>
      <c r="B95" s="11">
        <v>34463</v>
      </c>
      <c r="C95" s="8">
        <v>34463</v>
      </c>
    </row>
    <row r="96" spans="1:3" x14ac:dyDescent="0.2">
      <c r="A96" s="1">
        <v>46083</v>
      </c>
      <c r="B96" s="12">
        <v>1936</v>
      </c>
      <c r="C96" s="3">
        <v>1936</v>
      </c>
    </row>
    <row r="97" spans="1:3" x14ac:dyDescent="0.2">
      <c r="A97" s="1">
        <v>46084</v>
      </c>
      <c r="B97" s="12">
        <v>7014</v>
      </c>
      <c r="C97" s="3">
        <v>7014</v>
      </c>
    </row>
    <row r="98" spans="1:3" x14ac:dyDescent="0.2">
      <c r="A98" s="1">
        <v>46085</v>
      </c>
      <c r="B98" s="12">
        <v>38238</v>
      </c>
      <c r="C98" s="3">
        <v>38238</v>
      </c>
    </row>
    <row r="99" spans="1:3" x14ac:dyDescent="0.2">
      <c r="A99" s="1">
        <v>46086</v>
      </c>
      <c r="B99" s="12">
        <v>30204</v>
      </c>
      <c r="C99" s="3">
        <v>30204</v>
      </c>
    </row>
    <row r="100" spans="1:3" x14ac:dyDescent="0.2">
      <c r="A100" s="1">
        <v>46087</v>
      </c>
      <c r="B100" s="12">
        <v>9135</v>
      </c>
      <c r="C100" s="3">
        <v>9135</v>
      </c>
    </row>
    <row r="101" spans="1:3" x14ac:dyDescent="0.2">
      <c r="A101" s="1">
        <v>46088</v>
      </c>
      <c r="B101" s="12">
        <v>53306</v>
      </c>
      <c r="C101" s="3">
        <v>53306</v>
      </c>
    </row>
    <row r="102" spans="1:3" x14ac:dyDescent="0.2">
      <c r="A102" s="1">
        <v>46089</v>
      </c>
      <c r="B102" s="12">
        <v>10527</v>
      </c>
      <c r="C102" s="3">
        <v>10527</v>
      </c>
    </row>
    <row r="103" spans="1:3" x14ac:dyDescent="0.2">
      <c r="A103" s="1">
        <v>46090</v>
      </c>
      <c r="B103" s="12">
        <v>3035</v>
      </c>
      <c r="C103" s="3">
        <v>3035</v>
      </c>
    </row>
    <row r="104" spans="1:3" x14ac:dyDescent="0.2">
      <c r="A104" s="1">
        <v>46091</v>
      </c>
      <c r="B104" s="12">
        <v>4325</v>
      </c>
      <c r="C104" s="3">
        <v>4325</v>
      </c>
    </row>
    <row r="105" spans="1:3" x14ac:dyDescent="0.2">
      <c r="A105" s="1">
        <v>46092</v>
      </c>
      <c r="B105" s="12">
        <v>28858</v>
      </c>
      <c r="C105" s="3">
        <v>28858</v>
      </c>
    </row>
    <row r="106" spans="1:3" x14ac:dyDescent="0.2">
      <c r="A106" s="1">
        <v>46093</v>
      </c>
      <c r="B106" s="12">
        <v>3149</v>
      </c>
      <c r="C106" s="3">
        <v>3149</v>
      </c>
    </row>
    <row r="107" spans="1:3" x14ac:dyDescent="0.2">
      <c r="A107" s="1">
        <v>46094</v>
      </c>
      <c r="B107" s="12">
        <v>9932</v>
      </c>
      <c r="C107" s="3">
        <v>9932</v>
      </c>
    </row>
    <row r="108" spans="1:3" x14ac:dyDescent="0.2">
      <c r="A108" s="1">
        <v>46095</v>
      </c>
      <c r="B108" s="12">
        <v>5596</v>
      </c>
      <c r="C108" s="3">
        <v>5596</v>
      </c>
    </row>
    <row r="109" spans="1:3" x14ac:dyDescent="0.2">
      <c r="A109" s="1">
        <v>46096</v>
      </c>
      <c r="B109" s="12">
        <v>4241</v>
      </c>
      <c r="C109" s="3">
        <v>4241</v>
      </c>
    </row>
    <row r="110" spans="1:3" x14ac:dyDescent="0.2">
      <c r="A110" s="1">
        <v>46097</v>
      </c>
      <c r="B110" s="12">
        <v>4599</v>
      </c>
      <c r="C110" s="3">
        <v>4599</v>
      </c>
    </row>
    <row r="111" spans="1:3" x14ac:dyDescent="0.2">
      <c r="A111" s="1">
        <v>46098</v>
      </c>
      <c r="B111" s="12">
        <v>3752</v>
      </c>
      <c r="C111" s="3">
        <v>3752</v>
      </c>
    </row>
    <row r="112" spans="1:3" x14ac:dyDescent="0.2">
      <c r="A112" s="1">
        <v>46099</v>
      </c>
      <c r="B112" s="12">
        <v>21412</v>
      </c>
      <c r="C112" s="3">
        <v>21412</v>
      </c>
    </row>
    <row r="113" spans="1:3" x14ac:dyDescent="0.2">
      <c r="A113" s="1">
        <v>46100</v>
      </c>
      <c r="B113" s="12">
        <v>14166</v>
      </c>
      <c r="C113" s="3">
        <v>14166</v>
      </c>
    </row>
    <row r="114" spans="1:3" x14ac:dyDescent="0.2">
      <c r="A114" s="1">
        <v>46101</v>
      </c>
      <c r="B114" s="12">
        <v>7818</v>
      </c>
      <c r="C114" s="3">
        <v>7818</v>
      </c>
    </row>
    <row r="115" spans="1:3" x14ac:dyDescent="0.2">
      <c r="A115" s="1">
        <v>46102</v>
      </c>
      <c r="B115" s="12">
        <v>4135</v>
      </c>
      <c r="C115" s="3">
        <v>4135</v>
      </c>
    </row>
    <row r="116" spans="1:3" x14ac:dyDescent="0.2">
      <c r="A116" s="1">
        <v>46103</v>
      </c>
      <c r="B116" s="12">
        <v>2868</v>
      </c>
      <c r="C116" s="3">
        <v>2868</v>
      </c>
    </row>
    <row r="117" spans="1:3" x14ac:dyDescent="0.2">
      <c r="A117" s="1">
        <v>46104</v>
      </c>
      <c r="B117" s="12">
        <v>12377</v>
      </c>
      <c r="C117" s="3">
        <v>12377</v>
      </c>
    </row>
    <row r="118" spans="1:3" x14ac:dyDescent="0.2">
      <c r="A118" s="1">
        <v>46105</v>
      </c>
      <c r="B118" s="12">
        <v>5396</v>
      </c>
      <c r="C118" s="3">
        <v>5396</v>
      </c>
    </row>
    <row r="119" spans="1:3" x14ac:dyDescent="0.2">
      <c r="A119" s="1">
        <v>46106</v>
      </c>
      <c r="B119" s="12">
        <v>7096</v>
      </c>
      <c r="C119" s="3">
        <v>7096</v>
      </c>
    </row>
    <row r="120" spans="1:3" x14ac:dyDescent="0.2">
      <c r="A120" s="1">
        <v>46107</v>
      </c>
      <c r="B120" s="12">
        <v>8392</v>
      </c>
      <c r="C120" s="3">
        <v>8392</v>
      </c>
    </row>
    <row r="121" spans="1:3" x14ac:dyDescent="0.2">
      <c r="A121" s="1">
        <v>46108</v>
      </c>
      <c r="B121" s="12">
        <v>7505</v>
      </c>
      <c r="C121" s="3">
        <v>7505</v>
      </c>
    </row>
    <row r="122" spans="1:3" x14ac:dyDescent="0.2">
      <c r="A122" s="1">
        <v>46109</v>
      </c>
      <c r="B122" s="12">
        <v>16607</v>
      </c>
      <c r="C122" s="3">
        <v>16607</v>
      </c>
    </row>
    <row r="123" spans="1:3" x14ac:dyDescent="0.2">
      <c r="A123" s="1">
        <v>46110</v>
      </c>
      <c r="B123" s="12">
        <v>3726</v>
      </c>
      <c r="C123" s="3">
        <v>3726</v>
      </c>
    </row>
    <row r="124" spans="1:3" x14ac:dyDescent="0.2">
      <c r="A124" s="1">
        <v>46111</v>
      </c>
      <c r="B124" s="12">
        <v>4165</v>
      </c>
      <c r="C124" s="3">
        <v>4165</v>
      </c>
    </row>
    <row r="126" spans="1:3" x14ac:dyDescent="0.2">
      <c r="C126" s="3">
        <f>SUM(C2:C124)</f>
        <v>7796142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A1A1-ED11-3146-B060-85C0AF0DE640}">
  <dimension ref="A1:M124"/>
  <sheetViews>
    <sheetView workbookViewId="0">
      <selection activeCell="H32" sqref="H32"/>
    </sheetView>
  </sheetViews>
  <sheetFormatPr baseColWidth="10" defaultRowHeight="16" x14ac:dyDescent="0.2"/>
  <cols>
    <col min="2" max="2" width="10.83203125" style="9"/>
    <col min="3" max="4" width="10.83203125" style="3"/>
  </cols>
  <sheetData>
    <row r="1" spans="1:9" x14ac:dyDescent="0.2">
      <c r="A1" s="5" t="s">
        <v>37</v>
      </c>
      <c r="B1" s="9" t="s">
        <v>42</v>
      </c>
      <c r="C1" s="3" t="s">
        <v>42</v>
      </c>
      <c r="D1" s="8" t="s">
        <v>41</v>
      </c>
      <c r="E1" s="6"/>
      <c r="F1" t="s">
        <v>43</v>
      </c>
      <c r="G1" t="s">
        <v>44</v>
      </c>
      <c r="H1" t="s">
        <v>128</v>
      </c>
      <c r="I1" t="s">
        <v>13</v>
      </c>
    </row>
    <row r="2" spans="1:9" x14ac:dyDescent="0.2">
      <c r="A2" s="5">
        <v>45989</v>
      </c>
      <c r="B2" s="9">
        <f>ROUNDUP(C2, 0)</f>
        <v>23</v>
      </c>
      <c r="C2" s="3">
        <v>22.092099999999999</v>
      </c>
      <c r="D2" s="8">
        <v>1326</v>
      </c>
      <c r="E2" s="6"/>
      <c r="F2" s="9">
        <f>AVERAGE(C35:C65)</f>
        <v>86.739064516128991</v>
      </c>
      <c r="G2" s="9">
        <f>AVERAGE(B67:B94)</f>
        <v>31.964285714285715</v>
      </c>
      <c r="H2" s="9">
        <f>AVERAGE(B95:B124)</f>
        <v>14.933333333333334</v>
      </c>
      <c r="I2" s="9">
        <f>SUM(C1:C124)</f>
        <v>7875.5110999999924</v>
      </c>
    </row>
    <row r="3" spans="1:9" x14ac:dyDescent="0.2">
      <c r="A3" s="5">
        <v>45990</v>
      </c>
      <c r="B3" s="9">
        <f>ROUNDUP(C3, 0)</f>
        <v>16</v>
      </c>
      <c r="C3" s="3">
        <v>15.119199999999999</v>
      </c>
      <c r="D3" s="8">
        <v>907</v>
      </c>
      <c r="E3" s="6"/>
    </row>
    <row r="4" spans="1:9" x14ac:dyDescent="0.2">
      <c r="A4" s="5">
        <v>45991</v>
      </c>
      <c r="B4" s="9">
        <f>ROUNDUP(C4, 0)</f>
        <v>20</v>
      </c>
      <c r="C4" s="3">
        <v>19.8142</v>
      </c>
      <c r="D4" s="8">
        <v>1188</v>
      </c>
      <c r="E4" s="6"/>
    </row>
    <row r="5" spans="1:9" x14ac:dyDescent="0.2">
      <c r="A5" s="5">
        <v>45992</v>
      </c>
      <c r="B5" s="9">
        <f t="shared" ref="B5:B67" si="0">ROUNDUP(C5, 0)</f>
        <v>63</v>
      </c>
      <c r="C5" s="3">
        <v>62.1937</v>
      </c>
      <c r="D5" s="8">
        <v>3731</v>
      </c>
      <c r="E5" s="6"/>
    </row>
    <row r="6" spans="1:9" x14ac:dyDescent="0.2">
      <c r="A6" s="5">
        <v>45993</v>
      </c>
      <c r="B6" s="9">
        <f t="shared" si="0"/>
        <v>58</v>
      </c>
      <c r="C6" s="3">
        <v>57.237099999999899</v>
      </c>
      <c r="D6" s="8">
        <v>3435</v>
      </c>
      <c r="E6" s="6"/>
    </row>
    <row r="7" spans="1:9" x14ac:dyDescent="0.2">
      <c r="A7" s="5">
        <v>45994</v>
      </c>
      <c r="B7" s="9">
        <f t="shared" si="0"/>
        <v>73</v>
      </c>
      <c r="C7" s="3">
        <v>72.176400000000001</v>
      </c>
      <c r="D7" s="8">
        <v>4329</v>
      </c>
      <c r="E7" s="6"/>
    </row>
    <row r="8" spans="1:9" x14ac:dyDescent="0.2">
      <c r="A8" s="5">
        <v>45995</v>
      </c>
      <c r="B8" s="9">
        <f t="shared" si="0"/>
        <v>104</v>
      </c>
      <c r="C8" s="3">
        <v>103.3441</v>
      </c>
      <c r="D8" s="8">
        <v>6201</v>
      </c>
      <c r="E8" s="6"/>
    </row>
    <row r="9" spans="1:9" x14ac:dyDescent="0.2">
      <c r="A9" s="5">
        <v>45996</v>
      </c>
      <c r="B9" s="9">
        <f t="shared" si="0"/>
        <v>151</v>
      </c>
      <c r="C9" s="3">
        <v>150.15520000000001</v>
      </c>
      <c r="D9" s="8">
        <v>9011</v>
      </c>
      <c r="E9" s="6"/>
    </row>
    <row r="10" spans="1:9" x14ac:dyDescent="0.2">
      <c r="A10" s="5">
        <v>45997</v>
      </c>
      <c r="B10" s="9">
        <f t="shared" si="0"/>
        <v>77</v>
      </c>
      <c r="C10" s="3">
        <v>76.3035</v>
      </c>
      <c r="D10" s="8">
        <v>4575</v>
      </c>
      <c r="E10" s="6"/>
    </row>
    <row r="11" spans="1:9" x14ac:dyDescent="0.2">
      <c r="A11" s="5">
        <v>45998</v>
      </c>
      <c r="B11" s="9">
        <f t="shared" si="0"/>
        <v>54</v>
      </c>
      <c r="C11" s="3">
        <v>53.886799999999901</v>
      </c>
      <c r="D11" s="8">
        <v>3234</v>
      </c>
      <c r="E11" s="6"/>
    </row>
    <row r="12" spans="1:9" x14ac:dyDescent="0.2">
      <c r="A12" s="5">
        <v>45999</v>
      </c>
      <c r="B12" s="9">
        <f t="shared" si="0"/>
        <v>72</v>
      </c>
      <c r="C12" s="3">
        <v>71.2898</v>
      </c>
      <c r="D12" s="8">
        <v>4278</v>
      </c>
      <c r="E12" s="6"/>
    </row>
    <row r="13" spans="1:9" x14ac:dyDescent="0.2">
      <c r="A13" s="5">
        <v>46000</v>
      </c>
      <c r="B13" s="9">
        <f t="shared" si="0"/>
        <v>141</v>
      </c>
      <c r="C13" s="3">
        <v>140.8578</v>
      </c>
      <c r="D13" s="8">
        <v>8453</v>
      </c>
      <c r="E13" s="6"/>
    </row>
    <row r="14" spans="1:9" x14ac:dyDescent="0.2">
      <c r="A14" s="5">
        <v>46001</v>
      </c>
      <c r="B14" s="9">
        <f t="shared" si="0"/>
        <v>127</v>
      </c>
      <c r="C14" s="3">
        <v>126.508799999999</v>
      </c>
      <c r="D14" s="8">
        <v>7594</v>
      </c>
      <c r="E14" s="6"/>
    </row>
    <row r="15" spans="1:9" x14ac:dyDescent="0.2">
      <c r="A15" s="5">
        <v>46002</v>
      </c>
      <c r="B15" s="9">
        <f t="shared" si="0"/>
        <v>114</v>
      </c>
      <c r="C15" s="3">
        <v>113.372799999999</v>
      </c>
      <c r="D15" s="8">
        <v>6802</v>
      </c>
      <c r="E15" s="6"/>
    </row>
    <row r="16" spans="1:9" x14ac:dyDescent="0.2">
      <c r="A16" s="5">
        <v>46003</v>
      </c>
      <c r="B16" s="9">
        <f t="shared" si="0"/>
        <v>183</v>
      </c>
      <c r="C16" s="3">
        <v>182.87780000000001</v>
      </c>
      <c r="D16" s="8">
        <v>10970</v>
      </c>
      <c r="E16" s="6"/>
    </row>
    <row r="17" spans="1:13" x14ac:dyDescent="0.2">
      <c r="A17" s="5">
        <v>46004</v>
      </c>
      <c r="B17" s="9">
        <f t="shared" si="0"/>
        <v>183</v>
      </c>
      <c r="C17" s="3">
        <v>182.61089999999999</v>
      </c>
      <c r="D17" s="8">
        <v>10957</v>
      </c>
      <c r="E17" s="6"/>
    </row>
    <row r="18" spans="1:13" x14ac:dyDescent="0.2">
      <c r="A18" s="5">
        <v>46005</v>
      </c>
      <c r="B18" s="9">
        <f t="shared" si="0"/>
        <v>110</v>
      </c>
      <c r="C18" s="3">
        <v>109.337199999999</v>
      </c>
      <c r="D18" s="8">
        <v>6559</v>
      </c>
      <c r="E18" s="6"/>
    </row>
    <row r="19" spans="1:13" x14ac:dyDescent="0.2">
      <c r="A19" s="5">
        <v>46006</v>
      </c>
      <c r="B19" s="9">
        <f t="shared" si="0"/>
        <v>144</v>
      </c>
      <c r="C19" s="3">
        <v>143.18169999999901</v>
      </c>
      <c r="D19" s="8">
        <v>8593</v>
      </c>
      <c r="E19" s="6"/>
    </row>
    <row r="20" spans="1:13" x14ac:dyDescent="0.2">
      <c r="A20" s="5">
        <v>46007</v>
      </c>
      <c r="B20" s="9">
        <f t="shared" si="0"/>
        <v>141</v>
      </c>
      <c r="C20" s="3">
        <v>140.89709999999999</v>
      </c>
      <c r="D20" s="8">
        <v>8457</v>
      </c>
      <c r="E20" s="6"/>
    </row>
    <row r="21" spans="1:13" x14ac:dyDescent="0.2">
      <c r="A21" s="5">
        <v>46008</v>
      </c>
      <c r="B21" s="9">
        <f t="shared" si="0"/>
        <v>174</v>
      </c>
      <c r="C21" s="3">
        <v>173.5873</v>
      </c>
      <c r="D21" s="8">
        <v>10415</v>
      </c>
      <c r="E21" s="6"/>
    </row>
    <row r="22" spans="1:13" x14ac:dyDescent="0.2">
      <c r="A22" s="5">
        <v>46009</v>
      </c>
      <c r="B22" s="9">
        <f t="shared" si="0"/>
        <v>156</v>
      </c>
      <c r="C22" s="3">
        <v>155.47259999999901</v>
      </c>
      <c r="D22" s="8">
        <v>9331</v>
      </c>
      <c r="E22" s="6"/>
    </row>
    <row r="23" spans="1:13" x14ac:dyDescent="0.2">
      <c r="A23" s="5">
        <v>46010</v>
      </c>
      <c r="B23" s="9">
        <f t="shared" si="0"/>
        <v>151</v>
      </c>
      <c r="C23" s="3">
        <v>150.10239999999899</v>
      </c>
      <c r="D23" s="8">
        <v>9006</v>
      </c>
      <c r="E23" s="6"/>
    </row>
    <row r="24" spans="1:13" x14ac:dyDescent="0.2">
      <c r="A24" s="5">
        <v>46011</v>
      </c>
      <c r="B24" s="9">
        <f t="shared" si="0"/>
        <v>162</v>
      </c>
      <c r="C24" s="3">
        <v>161.82650000000001</v>
      </c>
      <c r="D24" s="8">
        <v>9711</v>
      </c>
      <c r="E24" s="6"/>
    </row>
    <row r="25" spans="1:13" x14ac:dyDescent="0.2">
      <c r="A25" s="5">
        <v>46012</v>
      </c>
      <c r="B25" s="9">
        <f t="shared" si="0"/>
        <v>98</v>
      </c>
      <c r="C25" s="3">
        <v>97.768500000000003</v>
      </c>
      <c r="D25" s="8">
        <v>5864</v>
      </c>
      <c r="E25" s="6"/>
    </row>
    <row r="26" spans="1:13" x14ac:dyDescent="0.2">
      <c r="A26" s="5">
        <v>46013</v>
      </c>
      <c r="B26" s="9">
        <f t="shared" si="0"/>
        <v>156</v>
      </c>
      <c r="C26" s="3">
        <v>155.7183</v>
      </c>
      <c r="D26" s="8">
        <v>9344</v>
      </c>
      <c r="E26" s="6"/>
    </row>
    <row r="27" spans="1:13" x14ac:dyDescent="0.2">
      <c r="A27" s="5">
        <v>46014</v>
      </c>
      <c r="B27" s="9">
        <f t="shared" si="0"/>
        <v>165</v>
      </c>
      <c r="C27" s="3">
        <v>164.42329999999899</v>
      </c>
      <c r="D27" s="8">
        <v>9866</v>
      </c>
      <c r="E27" s="6"/>
    </row>
    <row r="28" spans="1:13" x14ac:dyDescent="0.2">
      <c r="A28" s="5">
        <v>46015</v>
      </c>
      <c r="B28" s="9">
        <f t="shared" si="0"/>
        <v>105</v>
      </c>
      <c r="C28" s="3">
        <v>104.7624</v>
      </c>
      <c r="D28" s="8">
        <v>6284</v>
      </c>
      <c r="E28" s="6"/>
    </row>
    <row r="29" spans="1:13" x14ac:dyDescent="0.2">
      <c r="A29" s="5">
        <v>46016</v>
      </c>
      <c r="B29" s="9">
        <f t="shared" si="0"/>
        <v>129</v>
      </c>
      <c r="C29" s="3">
        <v>128.89439999999999</v>
      </c>
      <c r="D29" s="8">
        <v>7735</v>
      </c>
      <c r="E29" s="6"/>
    </row>
    <row r="30" spans="1:13" x14ac:dyDescent="0.2">
      <c r="A30" s="5">
        <v>46017</v>
      </c>
      <c r="B30" s="9">
        <f t="shared" si="0"/>
        <v>131</v>
      </c>
      <c r="C30" s="3">
        <v>130.7637</v>
      </c>
      <c r="D30" s="8">
        <v>7845</v>
      </c>
      <c r="E30" s="6"/>
      <c r="M30" s="13" t="s">
        <v>102</v>
      </c>
    </row>
    <row r="31" spans="1:13" x14ac:dyDescent="0.2">
      <c r="A31" s="5">
        <v>46018</v>
      </c>
      <c r="B31" s="9">
        <f t="shared" si="0"/>
        <v>93</v>
      </c>
      <c r="C31" s="3">
        <v>92.820099999999996</v>
      </c>
      <c r="D31" s="8">
        <v>5571</v>
      </c>
      <c r="E31" s="6"/>
      <c r="M31" s="13" t="s">
        <v>103</v>
      </c>
    </row>
    <row r="32" spans="1:13" x14ac:dyDescent="0.2">
      <c r="A32" s="5">
        <v>46019</v>
      </c>
      <c r="B32" s="9">
        <f t="shared" si="0"/>
        <v>144</v>
      </c>
      <c r="C32" s="3">
        <v>143.98849999999999</v>
      </c>
      <c r="D32" s="8">
        <v>8638</v>
      </c>
      <c r="E32" s="6"/>
      <c r="M32" s="13" t="s">
        <v>109</v>
      </c>
    </row>
    <row r="33" spans="1:13" x14ac:dyDescent="0.2">
      <c r="A33" s="5">
        <v>46020</v>
      </c>
      <c r="B33" s="9">
        <f t="shared" si="0"/>
        <v>138</v>
      </c>
      <c r="C33" s="3">
        <v>137.218299999999</v>
      </c>
      <c r="D33" s="8">
        <v>8234</v>
      </c>
      <c r="E33" s="6"/>
      <c r="M33" s="13" t="s">
        <v>110</v>
      </c>
    </row>
    <row r="34" spans="1:13" x14ac:dyDescent="0.2">
      <c r="A34" s="5">
        <v>46021</v>
      </c>
      <c r="B34" s="9">
        <f t="shared" si="0"/>
        <v>132</v>
      </c>
      <c r="C34" s="3">
        <v>131.336199999999</v>
      </c>
      <c r="D34" s="8">
        <v>7879</v>
      </c>
      <c r="E34" s="6"/>
      <c r="M34" s="13" t="s">
        <v>105</v>
      </c>
    </row>
    <row r="35" spans="1:13" x14ac:dyDescent="0.2">
      <c r="A35" s="5">
        <v>46022</v>
      </c>
      <c r="B35" s="9">
        <f t="shared" si="0"/>
        <v>109</v>
      </c>
      <c r="C35" s="3">
        <v>108.71850000000001</v>
      </c>
      <c r="D35" s="8">
        <v>6524</v>
      </c>
      <c r="E35" s="6"/>
      <c r="M35" s="13" t="s">
        <v>106</v>
      </c>
    </row>
    <row r="36" spans="1:13" x14ac:dyDescent="0.2">
      <c r="A36" s="5">
        <v>46023</v>
      </c>
      <c r="B36" s="9">
        <f t="shared" si="0"/>
        <v>106</v>
      </c>
      <c r="C36" s="3">
        <v>105.8099</v>
      </c>
      <c r="D36" s="8">
        <v>6350</v>
      </c>
      <c r="E36" s="6"/>
      <c r="M36" s="14" t="s">
        <v>111</v>
      </c>
    </row>
    <row r="37" spans="1:13" x14ac:dyDescent="0.2">
      <c r="A37" s="5">
        <v>46024</v>
      </c>
      <c r="B37" s="9">
        <f t="shared" si="0"/>
        <v>151</v>
      </c>
      <c r="C37" s="3">
        <v>150.00550000000001</v>
      </c>
      <c r="D37" s="8">
        <v>9001</v>
      </c>
      <c r="E37" s="6"/>
      <c r="M37" s="13" t="s">
        <v>107</v>
      </c>
    </row>
    <row r="38" spans="1:13" x14ac:dyDescent="0.2">
      <c r="A38" s="5">
        <v>46025</v>
      </c>
      <c r="B38" s="9">
        <f t="shared" si="0"/>
        <v>76</v>
      </c>
      <c r="C38" s="3">
        <v>75.280599999999893</v>
      </c>
      <c r="D38" s="8">
        <v>4515</v>
      </c>
      <c r="E38" s="6"/>
      <c r="M38" s="14" t="s">
        <v>112</v>
      </c>
    </row>
    <row r="39" spans="1:13" x14ac:dyDescent="0.2">
      <c r="A39" s="5">
        <v>46026</v>
      </c>
      <c r="B39" s="9">
        <f t="shared" si="0"/>
        <v>90</v>
      </c>
      <c r="C39" s="3">
        <v>89.936799999999906</v>
      </c>
      <c r="D39" s="8">
        <v>5399</v>
      </c>
      <c r="E39" s="6"/>
    </row>
    <row r="40" spans="1:13" x14ac:dyDescent="0.2">
      <c r="A40" s="5">
        <v>46027</v>
      </c>
      <c r="B40" s="9">
        <f t="shared" si="0"/>
        <v>121</v>
      </c>
      <c r="C40" s="3">
        <v>120.0656</v>
      </c>
      <c r="D40" s="8">
        <v>7203</v>
      </c>
      <c r="E40" s="6"/>
    </row>
    <row r="41" spans="1:13" x14ac:dyDescent="0.2">
      <c r="A41" s="5">
        <v>46028</v>
      </c>
      <c r="B41" s="9">
        <f t="shared" si="0"/>
        <v>110</v>
      </c>
      <c r="C41" s="3">
        <v>109.74379999999999</v>
      </c>
      <c r="D41" s="8">
        <v>6585</v>
      </c>
      <c r="E41" s="6"/>
    </row>
    <row r="42" spans="1:13" x14ac:dyDescent="0.2">
      <c r="A42" s="5">
        <v>46029</v>
      </c>
      <c r="B42" s="9">
        <f t="shared" si="0"/>
        <v>149</v>
      </c>
      <c r="C42" s="3">
        <v>148.58769999999899</v>
      </c>
      <c r="D42" s="8">
        <v>8917</v>
      </c>
      <c r="E42" s="6"/>
    </row>
    <row r="43" spans="1:13" x14ac:dyDescent="0.2">
      <c r="A43" s="5">
        <v>46030</v>
      </c>
      <c r="B43" s="9">
        <f t="shared" si="0"/>
        <v>148</v>
      </c>
      <c r="C43" s="3">
        <v>147.83600000000001</v>
      </c>
      <c r="D43" s="8">
        <v>8869</v>
      </c>
      <c r="E43" s="6"/>
    </row>
    <row r="44" spans="1:13" x14ac:dyDescent="0.2">
      <c r="A44" s="5">
        <v>46031</v>
      </c>
      <c r="B44" s="9">
        <f t="shared" si="0"/>
        <v>122</v>
      </c>
      <c r="C44" s="3">
        <v>121.65179999999999</v>
      </c>
      <c r="D44" s="8">
        <v>7299</v>
      </c>
      <c r="E44" s="6"/>
    </row>
    <row r="45" spans="1:13" x14ac:dyDescent="0.2">
      <c r="A45" s="5">
        <v>46032</v>
      </c>
      <c r="B45" s="9">
        <f t="shared" si="0"/>
        <v>116</v>
      </c>
      <c r="C45" s="3">
        <v>115.4661</v>
      </c>
      <c r="D45" s="8">
        <v>6928</v>
      </c>
      <c r="E45" s="6"/>
    </row>
    <row r="46" spans="1:13" x14ac:dyDescent="0.2">
      <c r="A46" s="5">
        <v>46033</v>
      </c>
      <c r="B46" s="9">
        <f t="shared" si="0"/>
        <v>74</v>
      </c>
      <c r="C46" s="3">
        <v>73.106499999999997</v>
      </c>
      <c r="D46" s="8">
        <v>4383</v>
      </c>
      <c r="E46" s="6"/>
    </row>
    <row r="47" spans="1:13" x14ac:dyDescent="0.2">
      <c r="A47" s="5">
        <v>46034</v>
      </c>
      <c r="B47" s="9">
        <f t="shared" si="0"/>
        <v>73</v>
      </c>
      <c r="C47" s="3">
        <v>72.736199999999897</v>
      </c>
      <c r="D47" s="8">
        <v>4363</v>
      </c>
      <c r="E47" s="6"/>
    </row>
    <row r="48" spans="1:13" x14ac:dyDescent="0.2">
      <c r="A48" s="5">
        <v>46035</v>
      </c>
      <c r="B48" s="9">
        <f t="shared" si="0"/>
        <v>83</v>
      </c>
      <c r="C48" s="3">
        <v>82.632099999999994</v>
      </c>
      <c r="D48" s="8">
        <v>4956</v>
      </c>
      <c r="E48" s="6"/>
    </row>
    <row r="49" spans="1:5" x14ac:dyDescent="0.2">
      <c r="A49" s="5">
        <v>46036</v>
      </c>
      <c r="B49" s="9">
        <f t="shared" si="0"/>
        <v>117</v>
      </c>
      <c r="C49" s="3">
        <v>116.2405</v>
      </c>
      <c r="D49" s="8">
        <v>6974</v>
      </c>
      <c r="E49" s="6"/>
    </row>
    <row r="50" spans="1:5" x14ac:dyDescent="0.2">
      <c r="A50" s="5">
        <v>46037</v>
      </c>
      <c r="B50" s="9">
        <f t="shared" si="0"/>
        <v>76</v>
      </c>
      <c r="C50" s="3">
        <v>75.569400000000002</v>
      </c>
      <c r="D50" s="8">
        <v>4531</v>
      </c>
      <c r="E50" s="6"/>
    </row>
    <row r="51" spans="1:5" x14ac:dyDescent="0.2">
      <c r="A51" s="5">
        <v>46038</v>
      </c>
      <c r="B51" s="9">
        <f t="shared" si="0"/>
        <v>75</v>
      </c>
      <c r="C51" s="3">
        <v>74.689899999999994</v>
      </c>
      <c r="D51" s="8">
        <v>4482</v>
      </c>
      <c r="E51" s="6"/>
    </row>
    <row r="52" spans="1:5" x14ac:dyDescent="0.2">
      <c r="A52" s="5">
        <v>46039</v>
      </c>
      <c r="B52" s="9">
        <f t="shared" si="0"/>
        <v>64</v>
      </c>
      <c r="C52" s="3">
        <v>63.148000000000003</v>
      </c>
      <c r="D52" s="8">
        <v>3788</v>
      </c>
      <c r="E52" s="6"/>
    </row>
    <row r="53" spans="1:5" x14ac:dyDescent="0.2">
      <c r="A53" s="5">
        <v>46040</v>
      </c>
      <c r="B53" s="9">
        <f t="shared" si="0"/>
        <v>76</v>
      </c>
      <c r="C53" s="3">
        <v>75.619500000000002</v>
      </c>
      <c r="D53" s="8">
        <v>4539</v>
      </c>
      <c r="E53" s="6"/>
    </row>
    <row r="54" spans="1:5" x14ac:dyDescent="0.2">
      <c r="A54" s="5">
        <v>46041</v>
      </c>
      <c r="B54" s="9">
        <f t="shared" si="0"/>
        <v>89</v>
      </c>
      <c r="C54" s="3">
        <v>88.530199999999994</v>
      </c>
      <c r="D54" s="8">
        <v>5309</v>
      </c>
      <c r="E54" s="6"/>
    </row>
    <row r="55" spans="1:5" x14ac:dyDescent="0.2">
      <c r="A55" s="5">
        <v>46042</v>
      </c>
      <c r="B55" s="9">
        <f t="shared" si="0"/>
        <v>60</v>
      </c>
      <c r="C55" s="3">
        <v>59.229300000000002</v>
      </c>
      <c r="D55" s="8">
        <v>3555</v>
      </c>
      <c r="E55" s="6"/>
    </row>
    <row r="56" spans="1:5" x14ac:dyDescent="0.2">
      <c r="A56" s="5">
        <v>46043</v>
      </c>
      <c r="B56" s="9">
        <f t="shared" si="0"/>
        <v>87</v>
      </c>
      <c r="C56" s="3">
        <v>86.1768</v>
      </c>
      <c r="D56" s="8">
        <v>5171</v>
      </c>
      <c r="E56" s="6"/>
    </row>
    <row r="57" spans="1:5" x14ac:dyDescent="0.2">
      <c r="A57" s="5">
        <v>46044</v>
      </c>
      <c r="B57" s="9">
        <f t="shared" si="0"/>
        <v>115</v>
      </c>
      <c r="C57" s="3">
        <v>114.0307</v>
      </c>
      <c r="D57" s="8">
        <v>6842</v>
      </c>
      <c r="E57" s="6"/>
    </row>
    <row r="58" spans="1:5" x14ac:dyDescent="0.2">
      <c r="A58" s="5">
        <v>46045</v>
      </c>
      <c r="B58" s="9">
        <f t="shared" si="0"/>
        <v>57</v>
      </c>
      <c r="C58" s="3">
        <v>56.0334</v>
      </c>
      <c r="D58" s="8">
        <v>3363</v>
      </c>
      <c r="E58" s="6"/>
    </row>
    <row r="59" spans="1:5" x14ac:dyDescent="0.2">
      <c r="A59" s="5">
        <v>46046</v>
      </c>
      <c r="B59" s="9">
        <f t="shared" si="0"/>
        <v>60</v>
      </c>
      <c r="C59" s="3">
        <v>59.493699999999997</v>
      </c>
      <c r="D59" s="8">
        <v>3571</v>
      </c>
      <c r="E59" s="6"/>
    </row>
    <row r="60" spans="1:5" x14ac:dyDescent="0.2">
      <c r="A60" s="5">
        <v>46047</v>
      </c>
      <c r="B60" s="9">
        <f t="shared" si="0"/>
        <v>79</v>
      </c>
      <c r="C60" s="3">
        <v>78.174499999999995</v>
      </c>
      <c r="D60" s="8">
        <v>4692</v>
      </c>
      <c r="E60" s="6"/>
    </row>
    <row r="61" spans="1:5" x14ac:dyDescent="0.2">
      <c r="A61" s="5">
        <v>46048</v>
      </c>
      <c r="B61" s="9">
        <f t="shared" si="0"/>
        <v>40</v>
      </c>
      <c r="C61" s="3">
        <v>39.068499999999901</v>
      </c>
      <c r="D61" s="8">
        <v>2345</v>
      </c>
      <c r="E61" s="6"/>
    </row>
    <row r="62" spans="1:5" x14ac:dyDescent="0.2">
      <c r="A62" s="5">
        <v>46049</v>
      </c>
      <c r="B62" s="9">
        <f t="shared" si="0"/>
        <v>39</v>
      </c>
      <c r="C62" s="3">
        <v>38.460099999999997</v>
      </c>
      <c r="D62" s="8">
        <v>2310</v>
      </c>
      <c r="E62" s="6"/>
    </row>
    <row r="63" spans="1:5" x14ac:dyDescent="0.2">
      <c r="A63" s="5">
        <v>46050</v>
      </c>
      <c r="B63" s="9">
        <f t="shared" si="0"/>
        <v>79</v>
      </c>
      <c r="C63" s="3">
        <v>78.484699999999904</v>
      </c>
      <c r="D63" s="8">
        <v>4708</v>
      </c>
      <c r="E63" s="6"/>
    </row>
    <row r="64" spans="1:5" x14ac:dyDescent="0.2">
      <c r="A64" s="5">
        <v>46051</v>
      </c>
      <c r="B64" s="9">
        <f t="shared" si="0"/>
        <v>41</v>
      </c>
      <c r="C64" s="3">
        <v>40.751399999999897</v>
      </c>
      <c r="D64" s="8">
        <v>2443</v>
      </c>
      <c r="E64" s="6"/>
    </row>
    <row r="65" spans="1:5" x14ac:dyDescent="0.2">
      <c r="A65" s="5">
        <v>46052</v>
      </c>
      <c r="B65" s="9">
        <f t="shared" si="0"/>
        <v>24</v>
      </c>
      <c r="C65" s="3">
        <v>23.633299999999998</v>
      </c>
      <c r="D65" s="8">
        <v>1417</v>
      </c>
      <c r="E65" s="6"/>
    </row>
    <row r="66" spans="1:5" x14ac:dyDescent="0.2">
      <c r="A66" s="5">
        <v>46053</v>
      </c>
      <c r="B66" s="9">
        <f t="shared" si="0"/>
        <v>103</v>
      </c>
      <c r="C66" s="3">
        <v>102.337499999999</v>
      </c>
      <c r="D66" s="8">
        <v>6139</v>
      </c>
      <c r="E66" s="6"/>
    </row>
    <row r="67" spans="1:5" x14ac:dyDescent="0.2">
      <c r="A67" s="5">
        <v>46054</v>
      </c>
      <c r="B67" s="9">
        <f t="shared" si="0"/>
        <v>36</v>
      </c>
      <c r="C67" s="3">
        <v>35.338299999999997</v>
      </c>
      <c r="D67" s="8">
        <v>2119</v>
      </c>
      <c r="E67" s="6"/>
    </row>
    <row r="68" spans="1:5" x14ac:dyDescent="0.2">
      <c r="A68" s="5">
        <v>46055</v>
      </c>
      <c r="B68" s="9">
        <f t="shared" ref="B68:B124" si="1">ROUNDUP(C68, 0)</f>
        <v>86</v>
      </c>
      <c r="C68" s="3">
        <v>85.838999999999999</v>
      </c>
      <c r="D68" s="8">
        <v>5151</v>
      </c>
      <c r="E68" s="6"/>
    </row>
    <row r="69" spans="1:5" x14ac:dyDescent="0.2">
      <c r="A69" s="5">
        <v>46056</v>
      </c>
      <c r="B69" s="9">
        <f t="shared" si="1"/>
        <v>90</v>
      </c>
      <c r="C69" s="3">
        <v>89.372600000000006</v>
      </c>
      <c r="D69" s="8">
        <v>5363</v>
      </c>
      <c r="E69" s="6"/>
    </row>
    <row r="70" spans="1:5" x14ac:dyDescent="0.2">
      <c r="A70" s="5">
        <v>46057</v>
      </c>
      <c r="B70" s="9">
        <f t="shared" si="1"/>
        <v>60</v>
      </c>
      <c r="C70" s="3">
        <v>59.313999999999901</v>
      </c>
      <c r="D70" s="8">
        <v>3559</v>
      </c>
      <c r="E70" s="6"/>
    </row>
    <row r="71" spans="1:5" x14ac:dyDescent="0.2">
      <c r="A71" s="5">
        <v>46058</v>
      </c>
      <c r="B71" s="9">
        <f t="shared" si="1"/>
        <v>86</v>
      </c>
      <c r="C71" s="3">
        <v>85.885099999999994</v>
      </c>
      <c r="D71" s="8">
        <v>5155</v>
      </c>
      <c r="E71" s="6"/>
    </row>
    <row r="72" spans="1:5" x14ac:dyDescent="0.2">
      <c r="A72" s="5">
        <v>46059</v>
      </c>
      <c r="B72" s="9">
        <f t="shared" si="1"/>
        <v>78</v>
      </c>
      <c r="C72" s="3">
        <v>77.071200000000005</v>
      </c>
      <c r="D72" s="8">
        <v>4624</v>
      </c>
      <c r="E72" s="6"/>
    </row>
    <row r="73" spans="1:5" x14ac:dyDescent="0.2">
      <c r="A73" s="5">
        <v>46060</v>
      </c>
      <c r="B73" s="9">
        <f t="shared" si="1"/>
        <v>40</v>
      </c>
      <c r="C73" s="3">
        <v>39.328299999999999</v>
      </c>
      <c r="D73" s="8">
        <v>2358</v>
      </c>
      <c r="E73" s="6"/>
    </row>
    <row r="74" spans="1:5" x14ac:dyDescent="0.2">
      <c r="A74" s="5">
        <v>46061</v>
      </c>
      <c r="B74" s="9">
        <f t="shared" si="1"/>
        <v>17</v>
      </c>
      <c r="C74" s="3">
        <v>16.212799999999898</v>
      </c>
      <c r="D74" s="8">
        <v>974</v>
      </c>
      <c r="E74" s="6"/>
    </row>
    <row r="75" spans="1:5" x14ac:dyDescent="0.2">
      <c r="A75" s="5">
        <v>46062</v>
      </c>
      <c r="B75" s="9">
        <f t="shared" si="1"/>
        <v>11</v>
      </c>
      <c r="C75" s="3">
        <v>10.7166</v>
      </c>
      <c r="D75" s="8">
        <v>644</v>
      </c>
      <c r="E75" s="6"/>
    </row>
    <row r="76" spans="1:5" x14ac:dyDescent="0.2">
      <c r="A76" s="5">
        <v>46063</v>
      </c>
      <c r="B76" s="9">
        <f t="shared" si="1"/>
        <v>18</v>
      </c>
      <c r="C76" s="3">
        <v>17.838200000000001</v>
      </c>
      <c r="D76" s="8">
        <v>1071</v>
      </c>
      <c r="E76" s="6"/>
    </row>
    <row r="77" spans="1:5" x14ac:dyDescent="0.2">
      <c r="A77" s="5">
        <v>46064</v>
      </c>
      <c r="B77" s="9">
        <f t="shared" si="1"/>
        <v>46</v>
      </c>
      <c r="C77" s="3">
        <v>45.703199999999903</v>
      </c>
      <c r="D77" s="8">
        <v>2744</v>
      </c>
      <c r="E77" s="6"/>
    </row>
    <row r="78" spans="1:5" x14ac:dyDescent="0.2">
      <c r="A78" s="5">
        <v>46065</v>
      </c>
      <c r="B78" s="9">
        <f t="shared" si="1"/>
        <v>26</v>
      </c>
      <c r="C78" s="3">
        <v>25.699200000000001</v>
      </c>
      <c r="D78" s="8">
        <v>1539</v>
      </c>
      <c r="E78" s="6"/>
    </row>
    <row r="79" spans="1:5" x14ac:dyDescent="0.2">
      <c r="A79" s="5">
        <v>46066</v>
      </c>
      <c r="B79" s="9">
        <f t="shared" si="1"/>
        <v>16</v>
      </c>
      <c r="C79" s="3">
        <v>15.092799999999899</v>
      </c>
      <c r="D79" s="8">
        <v>906</v>
      </c>
      <c r="E79" s="6"/>
    </row>
    <row r="80" spans="1:5" x14ac:dyDescent="0.2">
      <c r="A80" s="5">
        <v>46067</v>
      </c>
      <c r="B80" s="9">
        <f t="shared" si="1"/>
        <v>41</v>
      </c>
      <c r="C80" s="3">
        <v>40.488100000000003</v>
      </c>
      <c r="D80" s="8">
        <v>2430</v>
      </c>
      <c r="E80" s="6"/>
    </row>
    <row r="81" spans="1:5" x14ac:dyDescent="0.2">
      <c r="A81" s="5">
        <v>46068</v>
      </c>
      <c r="B81" s="9">
        <f t="shared" si="1"/>
        <v>15</v>
      </c>
      <c r="C81" s="3">
        <v>14.425799999999899</v>
      </c>
      <c r="D81" s="8">
        <v>866</v>
      </c>
      <c r="E81" s="6"/>
    </row>
    <row r="82" spans="1:5" x14ac:dyDescent="0.2">
      <c r="A82" s="5">
        <v>46069</v>
      </c>
      <c r="B82" s="9">
        <f t="shared" si="1"/>
        <v>3</v>
      </c>
      <c r="C82" s="3">
        <v>2.9529999999999998</v>
      </c>
      <c r="D82" s="8">
        <v>177</v>
      </c>
      <c r="E82" s="6"/>
    </row>
    <row r="83" spans="1:5" x14ac:dyDescent="0.2">
      <c r="A83" s="5">
        <v>46070</v>
      </c>
      <c r="B83" s="9">
        <f t="shared" si="1"/>
        <v>30</v>
      </c>
      <c r="C83" s="3">
        <v>29.258999999999901</v>
      </c>
      <c r="D83" s="8">
        <v>1753</v>
      </c>
      <c r="E83" s="6"/>
    </row>
    <row r="84" spans="1:5" x14ac:dyDescent="0.2">
      <c r="A84" s="5">
        <v>46071</v>
      </c>
      <c r="B84" s="9">
        <f t="shared" si="1"/>
        <v>5</v>
      </c>
      <c r="C84" s="3">
        <v>4.4523999999999999</v>
      </c>
      <c r="D84" s="8">
        <v>268</v>
      </c>
      <c r="E84" s="6"/>
    </row>
    <row r="85" spans="1:5" x14ac:dyDescent="0.2">
      <c r="A85" s="5">
        <v>46072</v>
      </c>
      <c r="B85" s="9">
        <f t="shared" si="1"/>
        <v>19</v>
      </c>
      <c r="C85" s="3">
        <v>18.586200000000002</v>
      </c>
      <c r="D85" s="8">
        <v>1116</v>
      </c>
      <c r="E85" s="6"/>
    </row>
    <row r="86" spans="1:5" x14ac:dyDescent="0.2">
      <c r="A86" s="5">
        <v>46073</v>
      </c>
      <c r="B86" s="9">
        <f t="shared" si="1"/>
        <v>4</v>
      </c>
      <c r="C86" s="3">
        <v>3.1151</v>
      </c>
      <c r="D86" s="8">
        <v>187</v>
      </c>
      <c r="E86" s="6"/>
    </row>
    <row r="87" spans="1:5" x14ac:dyDescent="0.2">
      <c r="A87" s="5">
        <v>46074</v>
      </c>
      <c r="B87" s="9">
        <f t="shared" si="1"/>
        <v>32</v>
      </c>
      <c r="C87" s="3">
        <v>31.797599999999999</v>
      </c>
      <c r="D87" s="8">
        <v>1910</v>
      </c>
      <c r="E87" s="6"/>
    </row>
    <row r="88" spans="1:5" x14ac:dyDescent="0.2">
      <c r="A88" s="5">
        <v>46075</v>
      </c>
      <c r="B88" s="9">
        <f t="shared" si="1"/>
        <v>17</v>
      </c>
      <c r="C88" s="3">
        <v>16.2242</v>
      </c>
      <c r="D88" s="8">
        <v>974</v>
      </c>
      <c r="E88" s="6"/>
    </row>
    <row r="89" spans="1:5" x14ac:dyDescent="0.2">
      <c r="A89" s="5">
        <v>46076</v>
      </c>
      <c r="B89" s="9">
        <f t="shared" si="1"/>
        <v>36</v>
      </c>
      <c r="C89" s="3">
        <v>35.637799999999899</v>
      </c>
      <c r="D89" s="8">
        <v>2141</v>
      </c>
      <c r="E89" s="6"/>
    </row>
    <row r="90" spans="1:5" x14ac:dyDescent="0.2">
      <c r="A90" s="5">
        <v>46077</v>
      </c>
      <c r="B90" s="9">
        <f t="shared" si="1"/>
        <v>7</v>
      </c>
      <c r="C90" s="3">
        <v>6.7108999999999996</v>
      </c>
      <c r="D90" s="8">
        <v>403</v>
      </c>
      <c r="E90" s="6"/>
    </row>
    <row r="91" spans="1:5" x14ac:dyDescent="0.2">
      <c r="A91" s="5">
        <v>46078</v>
      </c>
      <c r="B91" s="9">
        <f t="shared" si="1"/>
        <v>4</v>
      </c>
      <c r="C91" s="3">
        <v>3.0407999999999999</v>
      </c>
      <c r="D91" s="8">
        <v>183</v>
      </c>
      <c r="E91" s="6"/>
    </row>
    <row r="92" spans="1:5" x14ac:dyDescent="0.2">
      <c r="A92" s="5">
        <v>46079</v>
      </c>
      <c r="B92" s="9">
        <f t="shared" si="1"/>
        <v>17</v>
      </c>
      <c r="C92" s="3">
        <v>16.503799999999998</v>
      </c>
      <c r="D92" s="8">
        <v>990</v>
      </c>
      <c r="E92" s="6"/>
    </row>
    <row r="93" spans="1:5" x14ac:dyDescent="0.2">
      <c r="A93" s="5">
        <v>46080</v>
      </c>
      <c r="B93" s="9">
        <f t="shared" si="1"/>
        <v>4</v>
      </c>
      <c r="C93" s="3">
        <v>3.2988</v>
      </c>
      <c r="D93" s="8">
        <v>198</v>
      </c>
      <c r="E93" s="6"/>
    </row>
    <row r="94" spans="1:5" x14ac:dyDescent="0.2">
      <c r="A94" s="5">
        <v>46081</v>
      </c>
      <c r="B94" s="9">
        <f t="shared" si="1"/>
        <v>51</v>
      </c>
      <c r="C94" s="3">
        <v>50.044199999999996</v>
      </c>
      <c r="D94" s="8">
        <v>3001</v>
      </c>
      <c r="E94" s="6"/>
    </row>
    <row r="95" spans="1:5" x14ac:dyDescent="0.2">
      <c r="A95" s="5">
        <v>46082</v>
      </c>
      <c r="B95" s="9">
        <f t="shared" si="1"/>
        <v>45</v>
      </c>
      <c r="C95" s="3">
        <v>44.579799999999999</v>
      </c>
      <c r="D95" s="8">
        <v>2673</v>
      </c>
      <c r="E95" s="6"/>
    </row>
    <row r="96" spans="1:5" x14ac:dyDescent="0.2">
      <c r="A96" s="1">
        <v>46083</v>
      </c>
      <c r="B96" s="9">
        <f t="shared" si="1"/>
        <v>2</v>
      </c>
      <c r="C96" s="3">
        <v>1.3923000000000001</v>
      </c>
      <c r="D96" s="3">
        <v>84</v>
      </c>
    </row>
    <row r="97" spans="1:4" x14ac:dyDescent="0.2">
      <c r="A97" s="1">
        <v>46084</v>
      </c>
      <c r="B97" s="9">
        <f t="shared" si="1"/>
        <v>7</v>
      </c>
      <c r="C97" s="3">
        <v>6.5819999999999999</v>
      </c>
      <c r="D97" s="3">
        <v>395</v>
      </c>
    </row>
    <row r="98" spans="1:4" x14ac:dyDescent="0.2">
      <c r="A98" s="1">
        <v>46085</v>
      </c>
      <c r="B98" s="9">
        <f t="shared" si="1"/>
        <v>80</v>
      </c>
      <c r="C98" s="3">
        <v>79.885400000000004</v>
      </c>
      <c r="D98" s="3">
        <v>4794</v>
      </c>
    </row>
    <row r="99" spans="1:4" x14ac:dyDescent="0.2">
      <c r="A99" s="1">
        <v>46086</v>
      </c>
      <c r="B99" s="9">
        <f t="shared" si="1"/>
        <v>32</v>
      </c>
      <c r="C99" s="3">
        <v>31.671900000000001</v>
      </c>
      <c r="D99" s="3">
        <v>1902</v>
      </c>
    </row>
    <row r="100" spans="1:4" x14ac:dyDescent="0.2">
      <c r="A100" s="1">
        <v>46087</v>
      </c>
      <c r="B100" s="9">
        <f t="shared" si="1"/>
        <v>11</v>
      </c>
      <c r="C100" s="3">
        <v>10.263999999999999</v>
      </c>
      <c r="D100" s="3">
        <v>616</v>
      </c>
    </row>
    <row r="101" spans="1:4" x14ac:dyDescent="0.2">
      <c r="A101" s="1">
        <v>46088</v>
      </c>
      <c r="B101" s="9">
        <f t="shared" si="1"/>
        <v>65</v>
      </c>
      <c r="C101" s="3">
        <v>64.005799999999994</v>
      </c>
      <c r="D101" s="3">
        <v>3840</v>
      </c>
    </row>
    <row r="102" spans="1:4" x14ac:dyDescent="0.2">
      <c r="A102" s="1">
        <v>46089</v>
      </c>
      <c r="B102" s="9">
        <f t="shared" si="1"/>
        <v>13</v>
      </c>
      <c r="C102" s="3">
        <v>12.5575999999999</v>
      </c>
      <c r="D102" s="3">
        <v>754</v>
      </c>
    </row>
    <row r="103" spans="1:4" x14ac:dyDescent="0.2">
      <c r="A103" s="1">
        <v>46090</v>
      </c>
      <c r="B103" s="9">
        <f t="shared" si="1"/>
        <v>4</v>
      </c>
      <c r="C103" s="3">
        <v>3.3315999999999999</v>
      </c>
      <c r="D103" s="3">
        <v>200</v>
      </c>
    </row>
    <row r="104" spans="1:4" x14ac:dyDescent="0.2">
      <c r="A104" s="1">
        <v>46091</v>
      </c>
      <c r="B104" s="9">
        <f t="shared" si="1"/>
        <v>8</v>
      </c>
      <c r="C104" s="3">
        <v>7.2776999999999896</v>
      </c>
      <c r="D104" s="3">
        <v>437</v>
      </c>
    </row>
    <row r="105" spans="1:4" x14ac:dyDescent="0.2">
      <c r="A105" s="1">
        <v>46092</v>
      </c>
      <c r="B105" s="9">
        <f t="shared" si="1"/>
        <v>26</v>
      </c>
      <c r="C105" s="3">
        <v>25.246699999999901</v>
      </c>
      <c r="D105" s="3">
        <v>1515</v>
      </c>
    </row>
    <row r="106" spans="1:4" x14ac:dyDescent="0.2">
      <c r="A106" s="1">
        <v>46093</v>
      </c>
      <c r="B106" s="9">
        <f t="shared" si="1"/>
        <v>4</v>
      </c>
      <c r="C106" s="3">
        <v>3.1345999999999998</v>
      </c>
      <c r="D106" s="3">
        <v>189</v>
      </c>
    </row>
    <row r="107" spans="1:4" x14ac:dyDescent="0.2">
      <c r="A107" s="1">
        <v>46094</v>
      </c>
      <c r="B107" s="9">
        <f t="shared" si="1"/>
        <v>10</v>
      </c>
      <c r="C107" s="3">
        <v>9.0386999999999897</v>
      </c>
      <c r="D107" s="3">
        <v>544</v>
      </c>
    </row>
    <row r="108" spans="1:4" x14ac:dyDescent="0.2">
      <c r="A108" s="1">
        <v>46095</v>
      </c>
      <c r="B108" s="9">
        <f t="shared" si="1"/>
        <v>5</v>
      </c>
      <c r="C108" s="3">
        <v>4.1421999999999999</v>
      </c>
      <c r="D108" s="3">
        <v>248</v>
      </c>
    </row>
    <row r="109" spans="1:4" x14ac:dyDescent="0.2">
      <c r="A109" s="1">
        <v>46096</v>
      </c>
      <c r="B109" s="9">
        <f t="shared" si="1"/>
        <v>3</v>
      </c>
      <c r="C109" s="3">
        <v>2.9584999999999999</v>
      </c>
      <c r="D109" s="3">
        <v>178</v>
      </c>
    </row>
    <row r="110" spans="1:4" x14ac:dyDescent="0.2">
      <c r="A110" s="1">
        <v>46097</v>
      </c>
      <c r="B110" s="9">
        <f t="shared" si="1"/>
        <v>3</v>
      </c>
      <c r="C110" s="3">
        <v>2.8536999999999999</v>
      </c>
      <c r="D110" s="3">
        <v>171</v>
      </c>
    </row>
    <row r="111" spans="1:4" x14ac:dyDescent="0.2">
      <c r="A111" s="1">
        <v>46098</v>
      </c>
      <c r="B111" s="9">
        <f t="shared" si="1"/>
        <v>4</v>
      </c>
      <c r="C111" s="3">
        <v>3.355</v>
      </c>
      <c r="D111" s="3">
        <v>201</v>
      </c>
    </row>
    <row r="112" spans="1:4" x14ac:dyDescent="0.2">
      <c r="A112" s="1">
        <v>46099</v>
      </c>
      <c r="B112" s="9">
        <f t="shared" si="1"/>
        <v>20</v>
      </c>
      <c r="C112" s="3">
        <v>19.3887999999999</v>
      </c>
      <c r="D112" s="3">
        <v>1162</v>
      </c>
    </row>
    <row r="113" spans="1:4" x14ac:dyDescent="0.2">
      <c r="A113" s="1">
        <v>46100</v>
      </c>
      <c r="B113" s="9">
        <f t="shared" si="1"/>
        <v>16</v>
      </c>
      <c r="C113" s="3">
        <v>15.337399999999899</v>
      </c>
      <c r="D113" s="3">
        <v>921</v>
      </c>
    </row>
    <row r="114" spans="1:4" x14ac:dyDescent="0.2">
      <c r="A114" s="1">
        <v>46101</v>
      </c>
      <c r="B114" s="9">
        <f t="shared" si="1"/>
        <v>6</v>
      </c>
      <c r="C114" s="3">
        <v>5.9333</v>
      </c>
      <c r="D114" s="3">
        <v>357</v>
      </c>
    </row>
    <row r="115" spans="1:4" x14ac:dyDescent="0.2">
      <c r="A115" s="1">
        <v>46102</v>
      </c>
      <c r="B115" s="9">
        <f t="shared" si="1"/>
        <v>4</v>
      </c>
      <c r="C115" s="3">
        <v>3.0655999999999999</v>
      </c>
      <c r="D115" s="3">
        <v>184</v>
      </c>
    </row>
    <row r="116" spans="1:4" x14ac:dyDescent="0.2">
      <c r="A116" s="1">
        <v>46103</v>
      </c>
      <c r="B116" s="9">
        <f t="shared" si="1"/>
        <v>4</v>
      </c>
      <c r="C116" s="3">
        <v>3.6802999999999999</v>
      </c>
      <c r="D116" s="3">
        <v>220</v>
      </c>
    </row>
    <row r="117" spans="1:4" x14ac:dyDescent="0.2">
      <c r="A117" s="1">
        <v>46104</v>
      </c>
      <c r="B117" s="9">
        <f t="shared" si="1"/>
        <v>13</v>
      </c>
      <c r="C117" s="3">
        <v>12.242000000000001</v>
      </c>
      <c r="D117" s="3">
        <v>735</v>
      </c>
    </row>
    <row r="118" spans="1:4" x14ac:dyDescent="0.2">
      <c r="A118" s="1">
        <v>46105</v>
      </c>
      <c r="B118" s="9">
        <f t="shared" si="1"/>
        <v>3</v>
      </c>
      <c r="C118" s="3">
        <v>2.9768999999999899</v>
      </c>
      <c r="D118" s="3">
        <v>178</v>
      </c>
    </row>
    <row r="119" spans="1:4" x14ac:dyDescent="0.2">
      <c r="A119" s="1">
        <v>46106</v>
      </c>
      <c r="B119" s="9">
        <f t="shared" si="1"/>
        <v>14</v>
      </c>
      <c r="C119" s="3">
        <v>13.650399999999999</v>
      </c>
      <c r="D119" s="3">
        <v>819</v>
      </c>
    </row>
    <row r="120" spans="1:4" x14ac:dyDescent="0.2">
      <c r="A120" s="1">
        <v>46107</v>
      </c>
      <c r="B120" s="9">
        <f t="shared" si="1"/>
        <v>9</v>
      </c>
      <c r="C120" s="3">
        <v>8.0946999999999996</v>
      </c>
      <c r="D120" s="3">
        <v>486</v>
      </c>
    </row>
    <row r="121" spans="1:4" x14ac:dyDescent="0.2">
      <c r="A121" s="1">
        <v>46108</v>
      </c>
      <c r="B121" s="9">
        <f t="shared" si="1"/>
        <v>8</v>
      </c>
      <c r="C121" s="3">
        <v>7.3889999999999896</v>
      </c>
      <c r="D121" s="3">
        <v>444</v>
      </c>
    </row>
    <row r="122" spans="1:4" x14ac:dyDescent="0.2">
      <c r="A122" s="1">
        <v>46109</v>
      </c>
      <c r="B122" s="9">
        <f t="shared" si="1"/>
        <v>22</v>
      </c>
      <c r="C122" s="3">
        <v>21.929600000000001</v>
      </c>
      <c r="D122" s="3">
        <v>1316</v>
      </c>
    </row>
    <row r="123" spans="1:4" x14ac:dyDescent="0.2">
      <c r="A123" s="1">
        <v>46110</v>
      </c>
      <c r="B123" s="9">
        <f>ROUNDUP(C123, 0)</f>
        <v>3</v>
      </c>
      <c r="C123" s="3">
        <v>2.8683000000000001</v>
      </c>
      <c r="D123" s="3">
        <v>172</v>
      </c>
    </row>
    <row r="124" spans="1:4" x14ac:dyDescent="0.2">
      <c r="A124" s="1">
        <v>46111</v>
      </c>
      <c r="B124" s="9">
        <f t="shared" si="1"/>
        <v>4</v>
      </c>
      <c r="C124" s="3">
        <v>3.5411000000000001</v>
      </c>
      <c r="D124" s="3">
        <v>212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F77D-0F1E-984D-AA9B-D405AE274E96}">
  <dimension ref="A8:H41"/>
  <sheetViews>
    <sheetView topLeftCell="A8" zoomScale="141" workbookViewId="0">
      <selection activeCell="E15" sqref="E15"/>
    </sheetView>
  </sheetViews>
  <sheetFormatPr baseColWidth="10" defaultRowHeight="16" x14ac:dyDescent="0.2"/>
  <cols>
    <col min="1" max="1" width="19.5" customWidth="1"/>
    <col min="2" max="2" width="22.83203125" customWidth="1"/>
  </cols>
  <sheetData>
    <row r="8" spans="1:5" x14ac:dyDescent="0.2">
      <c r="E8" s="13"/>
    </row>
    <row r="9" spans="1:5" x14ac:dyDescent="0.2">
      <c r="E9" s="15"/>
    </row>
    <row r="10" spans="1:5" x14ac:dyDescent="0.2">
      <c r="E10" s="13"/>
    </row>
    <row r="11" spans="1:5" x14ac:dyDescent="0.2">
      <c r="A11" t="s">
        <v>19</v>
      </c>
      <c r="B11" t="s">
        <v>45</v>
      </c>
      <c r="E11" s="13"/>
    </row>
    <row r="12" spans="1:5" x14ac:dyDescent="0.2">
      <c r="A12" t="s">
        <v>21</v>
      </c>
      <c r="B12">
        <v>241</v>
      </c>
      <c r="E12" s="13"/>
    </row>
    <row r="13" spans="1:5" x14ac:dyDescent="0.2">
      <c r="A13" t="s">
        <v>27</v>
      </c>
      <c r="B13">
        <v>515</v>
      </c>
      <c r="E13" s="13"/>
    </row>
    <row r="14" spans="1:5" x14ac:dyDescent="0.2">
      <c r="A14" t="s">
        <v>25</v>
      </c>
      <c r="B14">
        <v>526</v>
      </c>
      <c r="E14" s="14"/>
    </row>
    <row r="15" spans="1:5" x14ac:dyDescent="0.2">
      <c r="A15" t="s">
        <v>26</v>
      </c>
      <c r="B15">
        <v>712</v>
      </c>
    </row>
    <row r="16" spans="1:5" x14ac:dyDescent="0.2">
      <c r="A16" t="s">
        <v>24</v>
      </c>
      <c r="B16">
        <v>924</v>
      </c>
      <c r="E16" s="13"/>
    </row>
    <row r="17" spans="1:5" x14ac:dyDescent="0.2">
      <c r="A17" t="s">
        <v>22</v>
      </c>
      <c r="B17">
        <v>1556</v>
      </c>
      <c r="E17" s="14"/>
    </row>
    <row r="41" spans="8:8" ht="409.6" x14ac:dyDescent="0.2">
      <c r="H41" s="2" t="s">
        <v>115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9EB-E2FF-DB4F-9F83-3031C02DFF0E}">
  <dimension ref="A1:J59"/>
  <sheetViews>
    <sheetView zoomScale="75" workbookViewId="0">
      <selection activeCell="J59" sqref="J59"/>
    </sheetView>
  </sheetViews>
  <sheetFormatPr baseColWidth="10" defaultRowHeight="16" x14ac:dyDescent="0.2"/>
  <sheetData>
    <row r="1">
      <c r="A1" t="inlineStr">
        <is>
          <t>recipe_menu</t>
        </is>
      </c>
      <c r="B1" t="inlineStr">
        <is>
          <t>total_count</t>
        </is>
      </c>
    </row>
    <row r="2">
      <c r="A2" t="inlineStr">
        <is>
          <t>ก๋วยเตี๋ยวคั่วไก่</t>
        </is>
      </c>
      <c r="B2" t="n">
        <v>1</v>
      </c>
    </row>
    <row r="3">
      <c r="A3" t="inlineStr">
        <is>
          <t>ปีกไก่ทอด</t>
        </is>
      </c>
      <c r="B3" t="n">
        <v>4</v>
      </c>
    </row>
    <row r="4">
      <c r="A4" t="inlineStr">
        <is>
          <t>ไข่ตุ๋น</t>
        </is>
      </c>
      <c r="B4" t="n">
        <v>5</v>
      </c>
    </row>
    <row r="5">
      <c r="A5" t="inlineStr">
        <is>
          <t>ไข่ดาวน้ำกับสลัดอกไก่โชยุ</t>
        </is>
      </c>
      <c r="B5" t="n">
        <v>5</v>
      </c>
    </row>
    <row r="6">
      <c r="A6" t="inlineStr">
        <is>
          <t>ข้าวขยำสมุนไพรกับคอหมูย่าง</t>
        </is>
      </c>
      <c r="B6" t="n">
        <v>6</v>
      </c>
    </row>
    <row r="7">
      <c r="A7" t="inlineStr">
        <is>
          <t>ไข่ตุ๋นจักรพรรดิ์</t>
        </is>
      </c>
      <c r="B7" t="n">
        <v>6</v>
      </c>
    </row>
    <row r="8">
      <c r="A8" t="inlineStr">
        <is>
          <t>พาสต้าผัดหมูหยอง</t>
        </is>
      </c>
      <c r="B8" t="n">
        <v>8</v>
      </c>
    </row>
    <row r="9">
      <c r="A9" t="inlineStr">
        <is>
          <t>มันฝรั่งอบกับหมูทอด</t>
        </is>
      </c>
      <c r="B9" t="n">
        <v>10</v>
      </c>
    </row>
    <row r="10">
      <c r="A10" t="inlineStr">
        <is>
          <t>แซนด์วิซเนื้อเทริยากิ</t>
        </is>
      </c>
      <c r="B10" t="n">
        <v>10</v>
      </c>
    </row>
    <row r="11">
      <c r="A11" t="inlineStr">
        <is>
          <t>เบอร์เกอร์หมูควินัว</t>
        </is>
      </c>
      <c r="B11" t="n">
        <v>11</v>
      </c>
    </row>
    <row r="12">
      <c r="A12" t="inlineStr">
        <is>
          <t>หมูตกครก</t>
        </is>
      </c>
      <c r="B12" t="n">
        <v>12</v>
      </c>
    </row>
    <row r="13">
      <c r="A13" t="inlineStr">
        <is>
          <t>ก๋วยเตี๊ยวหมูน้ำใส</t>
        </is>
      </c>
      <c r="B13" t="n">
        <v>13</v>
      </c>
    </row>
    <row r="14">
      <c r="A14" t="inlineStr">
        <is>
          <t>เกี๊ยวซ่าซอสเสฉวน</t>
        </is>
      </c>
      <c r="B14" t="n">
        <v>13</v>
      </c>
    </row>
    <row r="15">
      <c r="A15" t="inlineStr">
        <is>
          <t>สลัดทูน่าแซ่บ</t>
        </is>
      </c>
      <c r="B15" t="n">
        <v>15</v>
      </c>
    </row>
    <row r="16">
      <c r="A16" t="inlineStr">
        <is>
          <t>เกี๊ยวซ่าหมูกับต้มเส้นก๋วยจั๊บอุบล</t>
        </is>
      </c>
      <c r="B16" t="n">
        <v>16</v>
      </c>
    </row>
    <row r="17">
      <c r="A17" t="inlineStr">
        <is>
          <t>ผัดไทเพื่อสุขภาพ</t>
        </is>
      </c>
      <c r="B17" t="n">
        <v>16</v>
      </c>
    </row>
    <row r="18">
      <c r="A18" t="inlineStr">
        <is>
          <t>ทอดมันกุ้งห่อไข่</t>
        </is>
      </c>
      <c r="B18" t="n">
        <v>16</v>
      </c>
    </row>
    <row r="19">
      <c r="A19" t="inlineStr">
        <is>
          <t>ยำยำ ต้มยำทะเลหม้อไฟแห้ง</t>
        </is>
      </c>
      <c r="B19" t="n">
        <v>16</v>
      </c>
    </row>
    <row r="20">
      <c r="A20" t="inlineStr">
        <is>
          <t>ไข่เจียวสตีฟโรเจอร์</t>
        </is>
      </c>
      <c r="B20" t="n">
        <v>17</v>
      </c>
    </row>
    <row r="21">
      <c r="A21" t="inlineStr">
        <is>
          <t>โจ๊กหมู</t>
        </is>
      </c>
      <c r="B21" t="n">
        <v>18</v>
      </c>
    </row>
    <row r="22">
      <c r="A22" t="inlineStr">
        <is>
          <t>โอโคโนมิยากิ สไตล์ฮิโรชิมา</t>
        </is>
      </c>
      <c r="B22" t="n">
        <v>19</v>
      </c>
    </row>
    <row r="23">
      <c r="A23" t="inlineStr">
        <is>
          <t>เส้นหมี่ไก่ฉีกหมูกระจกรสลาบ</t>
        </is>
      </c>
      <c r="B23" t="n">
        <v>19</v>
      </c>
    </row>
    <row r="24">
      <c r="A24" t="inlineStr">
        <is>
          <t>ไส้กรอกผัดซอสเทริยากิ</t>
        </is>
      </c>
      <c r="B24" t="n">
        <v>20</v>
      </c>
    </row>
    <row r="25">
      <c r="A25" t="inlineStr">
        <is>
          <t>ไข่ระเบิด</t>
        </is>
      </c>
      <c r="B25" t="n">
        <v>20</v>
      </c>
    </row>
    <row r="26">
      <c r="A26" t="inlineStr">
        <is>
          <t>ยำปลาทูมะเขือสองสี</t>
        </is>
      </c>
      <c r="B26" t="n">
        <v>21</v>
      </c>
    </row>
    <row r="27">
      <c r="A27" t="inlineStr">
        <is>
          <t>แกงจืดมะระยัดไส้หมูสับ</t>
        </is>
      </c>
      <c r="B27" t="n">
        <v>22</v>
      </c>
    </row>
    <row r="28">
      <c r="A28" t="inlineStr">
        <is>
          <t>เกี๊ยวซ่าซอสเมนไทโกะ</t>
        </is>
      </c>
      <c r="B28" t="n">
        <v>24</v>
      </c>
    </row>
    <row r="29">
      <c r="A29" t="inlineStr">
        <is>
          <t>ผัดผักรวม</t>
        </is>
      </c>
      <c r="B29" t="n">
        <v>25</v>
      </c>
    </row>
    <row r="30">
      <c r="A30" t="inlineStr">
        <is>
          <t>ตับกระเทียม</t>
        </is>
      </c>
      <c r="B30" t="n">
        <v>27</v>
      </c>
    </row>
    <row r="31">
      <c r="A31" t="inlineStr">
        <is>
          <t>คิมบับไข่เจียวโต้รุ่ง</t>
        </is>
      </c>
      <c r="B31" t="n">
        <v>30</v>
      </c>
    </row>
    <row r="32">
      <c r="A32" t="inlineStr">
        <is>
          <t>สปาเก็ตตี้ผัดขี้เมา</t>
        </is>
      </c>
      <c r="B32" t="n">
        <v>31</v>
      </c>
    </row>
    <row r="33">
      <c r="A33" t="inlineStr">
        <is>
          <t>ข้าวปั้นพาวเวอร์บอลกะเพรา</t>
        </is>
      </c>
      <c r="B33" t="n">
        <v>32</v>
      </c>
    </row>
    <row r="34">
      <c r="A34" t="inlineStr">
        <is>
          <t>หมูย่างกับข้าวผัดโหระพา</t>
        </is>
      </c>
      <c r="B34" t="n">
        <v>35</v>
      </c>
    </row>
    <row r="35">
      <c r="A35" t="inlineStr">
        <is>
          <t>ต้มข่าไก่</t>
        </is>
      </c>
      <c r="B35" t="n">
        <v>36</v>
      </c>
    </row>
    <row r="36">
      <c r="A36" t="inlineStr">
        <is>
          <t>แรปไข่เด็กหอไม่ง้อใคร</t>
        </is>
      </c>
      <c r="B36" t="n">
        <v>37</v>
      </c>
    </row>
    <row r="37">
      <c r="A37" t="inlineStr">
        <is>
          <t>ผัดผักบุ้งไฟแดง</t>
        </is>
      </c>
      <c r="B37" t="n">
        <v>38</v>
      </c>
    </row>
    <row r="38">
      <c r="A38" t="inlineStr">
        <is>
          <t>สลัดแซลมอน</t>
        </is>
      </c>
      <c r="B38" t="n">
        <v>41</v>
      </c>
    </row>
    <row r="39">
      <c r="A39" t="inlineStr">
        <is>
          <t>ทาร์ตไข่โชยุคาราเมล</t>
        </is>
      </c>
      <c r="B39" t="n">
        <v>42</v>
      </c>
    </row>
    <row r="40">
      <c r="A40" t="inlineStr">
        <is>
          <t>สลัดเต้าหู้ย่างเทริยากิ</t>
        </is>
      </c>
      <c r="B40" t="n">
        <v>42</v>
      </c>
    </row>
    <row r="41">
      <c r="A41" t="inlineStr">
        <is>
          <t>ไข่ม้วนโฮมเมด</t>
        </is>
      </c>
      <c r="B41" t="n">
        <v>46</v>
      </c>
    </row>
    <row r="42">
      <c r="A42" t="inlineStr">
        <is>
          <t>กะเพราหมูอีซี่</t>
        </is>
      </c>
      <c r="B42" t="n">
        <v>46</v>
      </c>
    </row>
    <row r="43">
      <c r="A43" t="inlineStr">
        <is>
          <t>ต้มยำกุ้งรวมเห็ด</t>
        </is>
      </c>
      <c r="B43" t="n">
        <v>47</v>
      </c>
    </row>
    <row r="44">
      <c r="A44" t="inlineStr">
        <is>
          <t>สลัดอกไก่พริกไทยดำ</t>
        </is>
      </c>
      <c r="B44" t="n">
        <v>51</v>
      </c>
    </row>
    <row r="45">
      <c r="A45" t="inlineStr">
        <is>
          <t>ข้าวผัดปลาทูน่าหลากสี</t>
        </is>
      </c>
      <c r="B45" t="n">
        <v>53</v>
      </c>
    </row>
    <row r="46">
      <c r="A46" t="inlineStr">
        <is>
          <t>รามยอนต้มยำกุ้ง หมูเด้ง</t>
        </is>
      </c>
      <c r="B46" t="n">
        <v>55</v>
      </c>
    </row>
    <row r="47">
      <c r="A47" t="inlineStr">
        <is>
          <t>แกงเขียวหวานไก่</t>
        </is>
      </c>
      <c r="B47" t="n">
        <v>58</v>
      </c>
    </row>
    <row r="48">
      <c r="A48" t="inlineStr">
        <is>
          <t>ยำยำแซลมอนขี้เมา</t>
        </is>
      </c>
      <c r="B48" t="n">
        <v>58</v>
      </c>
    </row>
    <row r="49">
      <c r="A49" t="inlineStr">
        <is>
          <t>ผัดกะเพราเต้าหู้</t>
        </is>
      </c>
      <c r="B49" t="n">
        <v>69</v>
      </c>
    </row>
    <row r="50">
      <c r="A50" t="inlineStr">
        <is>
          <t>เส้นหมี่ผัดซีอิ๊ว</t>
        </is>
      </c>
      <c r="B50" t="n">
        <v>75</v>
      </c>
    </row>
    <row r="51">
      <c r="A51" t="inlineStr">
        <is>
          <t>ข้าวหน้าไข่นุ่ม</t>
        </is>
      </c>
      <c r="B51" t="n">
        <v>99</v>
      </c>
    </row>
    <row r="52">
      <c r="A52" t="inlineStr">
        <is>
          <t>สุกี้น้ำไก่</t>
        </is>
      </c>
      <c r="B52" t="n">
        <v>108</v>
      </c>
    </row>
    <row r="53">
      <c r="A53" t="inlineStr">
        <is>
          <t>ไข่พะโล้</t>
        </is>
      </c>
      <c r="B53" t="n">
        <v>159</v>
      </c>
    </row>
    <row r="54">
      <c r="A54" t="inlineStr">
        <is>
          <t>ทูน่าลุยสวน</t>
        </is>
      </c>
      <c r="B54" t="n">
        <v>180</v>
      </c>
    </row>
    <row r="55">
      <c r="A55" t="inlineStr">
        <is>
          <t>หมูผัดผงกะหรี่</t>
        </is>
      </c>
      <c r="B55" t="n">
        <v>199</v>
      </c>
    </row>
    <row r="56">
      <c r="A56" t="inlineStr">
        <is>
          <t>ข้าวผัดหมู</t>
        </is>
      </c>
      <c r="B56" t="n">
        <v>238</v>
      </c>
    </row>
    <row r="57"/>
    <row r="59" ht="409.6" customHeight="1">
      <c r="J59" s="2" t="inlineStr">
        <is>
      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      </is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5C64-182C-5045-862F-3BA5872E2BE0}">
  <dimension ref="A1:C33"/>
  <sheetViews>
    <sheetView topLeftCell="A11" zoomScale="142" workbookViewId="0">
      <selection activeCell="M24" sqref="M24"/>
    </sheetView>
  </sheetViews>
  <sheetFormatPr baseColWidth="10" defaultRowHeight="16" x14ac:dyDescent="0.2"/>
  <sheetData>
    <row r="1">
      <c r="A1" t="inlineStr">
        <is>
          <t>profile_id</t>
        </is>
      </c>
      <c r="B1" t="inlineStr">
        <is>
          <t>line_username</t>
        </is>
      </c>
      <c r="C1" t="inlineStr">
        <is>
          <t>total_score</t>
        </is>
      </c>
    </row>
    <row r="2">
      <c r="A2" t="n">
        <v>2</v>
      </c>
      <c r="B2" t="inlineStr">
        <is>
          <t>Icezy</t>
        </is>
      </c>
      <c r="C2" t="n">
        <v>9800</v>
      </c>
    </row>
    <row r="3">
      <c r="A3" t="n">
        <v>493</v>
      </c>
      <c r="B3" t="inlineStr">
        <is>
          <t>Nim💕</t>
        </is>
      </c>
      <c r="C3" t="n">
        <v>11550</v>
      </c>
    </row>
    <row r="4">
      <c r="A4" t="n">
        <v>128</v>
      </c>
      <c r="B4" t="inlineStr">
        <is>
          <t>Praewxntkp 🌻🌝</t>
        </is>
      </c>
      <c r="C4" t="n">
        <v>11560</v>
      </c>
    </row>
    <row r="5">
      <c r="A5" t="n">
        <v>14</v>
      </c>
      <c r="B5" t="inlineStr">
        <is>
          <t>cyberbank</t>
        </is>
      </c>
      <c r="C5" t="n">
        <v>15850</v>
      </c>
    </row>
    <row r="6">
      <c r="A6" t="n">
        <v>125</v>
      </c>
      <c r="B6" t="inlineStr">
        <is>
          <t>☀️👑Beau542♾🔥🎯</t>
        </is>
      </c>
      <c r="C6" t="n">
        <v>17650</v>
      </c>
    </row>
    <row r="7">
      <c r="A7" t="n">
        <v>106</v>
      </c>
      <c r="B7" t="inlineStr">
        <is>
          <t>CYNN ☃️🥕</t>
        </is>
      </c>
      <c r="C7" t="n">
        <v>44290</v>
      </c>
    </row>
    <row r="8">
      <c r="A8" t="n">
        <v>421</v>
      </c>
      <c r="B8" t="inlineStr">
        <is>
          <t>cat chiangmai</t>
        </is>
      </c>
      <c r="C8" t="n">
        <v>64170</v>
      </c>
    </row>
    <row r="9">
      <c r="A9" t="n">
        <v>126</v>
      </c>
      <c r="B9" t="inlineStr">
        <is>
          <t>Oum</t>
        </is>
      </c>
      <c r="C9" t="n">
        <v>106370</v>
      </c>
    </row>
    <row r="10">
      <c r="A10" t="n">
        <v>29</v>
      </c>
      <c r="B10" t="inlineStr">
        <is>
          <t>ชมภูนุช995</t>
        </is>
      </c>
      <c r="C10" t="n">
        <v>392510</v>
      </c>
    </row>
    <row r="11">
      <c r="A11" t="n">
        <v>62</v>
      </c>
      <c r="B11" t="inlineStr">
        <is>
          <t>Tae Tualek</t>
        </is>
      </c>
      <c r="C11" t="n">
        <v>534990</v>
      </c>
    </row>
    <row r="12"/>
    <row r="24">
      <c r="A24" s="13" t="inlineStr">
        <is>
          <t xml:space="preserve">SELECT </t>
        </is>
      </c>
    </row>
    <row r="25">
      <c r="A25" s="15" t="inlineStr">
        <is>
          <t xml:space="preserve">profile_id, </t>
        </is>
      </c>
    </row>
    <row r="26">
      <c r="A26" s="15" t="inlineStr">
        <is>
          <t xml:space="preserve">line_username, </t>
        </is>
      </c>
    </row>
    <row r="27">
      <c r="A27" s="13" t="inlineStr">
        <is>
          <t>SUM(reward_score) AS total_score</t>
        </is>
      </c>
    </row>
    <row r="28">
      <c r="A28" s="13" t="inlineStr">
        <is>
          <t>FROM `dentsu-merkle-ajt.ajt_game_dataset_test.cooking_report`</t>
        </is>
      </c>
    </row>
    <row r="29">
      <c r="A29" s="13" t="inlineStr">
        <is>
          <t xml:space="preserve">WHERE updated_at &gt;= '2025-11-28 00:00:00' </t>
        </is>
      </c>
    </row>
    <row r="30">
      <c r="A30" s="13" t="inlineStr">
        <is>
          <t>AND updated_at &lt;= '2026-02-28 23:59:59'</t>
        </is>
      </c>
    </row>
    <row r="31">
      <c r="A31" s="13" t="inlineStr">
        <is>
          <t>GROUP BY profile_id, line_username</t>
        </is>
      </c>
    </row>
    <row r="32">
      <c r="A32" s="13" t="inlineStr">
        <is>
          <t>ORDER BY total_score DESC</t>
        </is>
      </c>
    </row>
    <row r="33">
      <c r="A33" s="13" t="inlineStr">
        <is>
          <t>LIMIT 10;</t>
        </is>
      </c>
    </row>
  </sheetData>
  <sortState xmlns:xlrd2="http://schemas.microsoft.com/office/spreadsheetml/2017/richdata2" ref="A13:D22">
    <sortCondition descending="1" ref="A13:A22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User_funnel</vt:lpstr>
      <vt:lpstr>User Engagement</vt:lpstr>
      <vt:lpstr>gameplay_report(score) </vt:lpstr>
      <vt:lpstr>gameplay_report(time) </vt:lpstr>
      <vt:lpstr>state</vt:lpstr>
      <vt:lpstr>menu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Booranakitsin</dc:creator>
  <cp:lastModifiedBy>Sarun Booranakitsin</cp:lastModifiedBy>
  <dcterms:created xsi:type="dcterms:W3CDTF">2026-03-04T04:45:10Z</dcterms:created>
  <dcterms:modified xsi:type="dcterms:W3CDTF">2026-04-07T10:23:15Z</dcterms:modified>
</cp:coreProperties>
</file>